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800"/>
  </bookViews>
  <sheets>
    <sheet name="Project Guide" sheetId="1" r:id="rId1"/>
    <sheet name="Employee Data" sheetId="2" r:id="rId2"/>
    <sheet name="Sales Data" sheetId="3" r:id="rId3"/>
    <sheet name="Students" sheetId="4" r:id="rId4"/>
    <sheet name="Task Solutions" sheetId="5" r:id="rId5"/>
  </sheets>
  <definedNames>
    <definedName name="_xlnm._FilterDatabase" localSheetId="4" hidden="1">'Task Solutions'!$A$3:$E$36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<sst xmlns="http://schemas.openxmlformats.org/spreadsheetml/2006/main" count="305" uniqueCount="241">
  <si>
    <t>PR. 1 Fundamental Booster</t>
  </si>
  <si>
    <t>Topics:</t>
  </si>
  <si>
    <t>- Relative &amp; Absolute References, Formatting, Data Input</t>
  </si>
  <si>
    <t>- IF Formulas, Nested IFs, IF with AND/OR</t>
  </si>
  <si>
    <t>- COUNTIFS, SUMIFS, AVERAGEIFS</t>
  </si>
  <si>
    <t>- Lookup Functions (VLOOKUP, XLOOKUP, XMATCH)</t>
  </si>
  <si>
    <t>- INDEX/MATCH for dynamic searches</t>
  </si>
  <si>
    <t>- TEXT Functions for string manipulations</t>
  </si>
  <si>
    <t>- INDIRECT and OFFSET for dynamic references</t>
  </si>
  <si>
    <t>- Date/Time, Math Functions, FILTER function</t>
  </si>
  <si>
    <t>Main Tasks:</t>
  </si>
  <si>
    <t>1. Apply IF formulas to classify student grades.</t>
  </si>
  <si>
    <t>2. Use COUNTIFS to count students scoring above 60.</t>
  </si>
  <si>
    <t>3. Use VLOOKUP to find a product price from sales data.</t>
  </si>
  <si>
    <t>4. Apply XLOOKUP to fetch employee salaries dynamically.</t>
  </si>
  <si>
    <t>5. Format and analyze date of joining in Employee data.</t>
  </si>
  <si>
    <t>6. Use FILTER function to extract students with grades above 80.</t>
  </si>
  <si>
    <t>Deliverable:</t>
  </si>
  <si>
    <t>Complete the given worksheets by applying the required formulas in respective sheets.</t>
  </si>
  <si>
    <t>Essential Tasks</t>
  </si>
  <si>
    <t>Relative &amp; Absolute Cell References, Formatting, and Data Input</t>
  </si>
  <si>
    <t>Enter and format data (bold, italic, currency, date, custom formats).</t>
  </si>
  <si>
    <t>Use absolute ($A$1) and relative (A1) references in formulas.</t>
  </si>
  <si>
    <t>Using IF Formula &amp; Nesting IF Formulas</t>
  </si>
  <si>
    <t>Classify students' grades based on their scores.</t>
  </si>
  <si>
    <t>Compute discounts for sales based on price thresholds.</t>
  </si>
  <si>
    <t>Using IF with AND/OR Formulas</t>
  </si>
  <si>
    <t>Identify students who scored above 80 in both Math &amp; Science using IF(AND(...)).</t>
  </si>
  <si>
    <t>Determine whether a product is eligible for discount using IF(OR(...)).</t>
  </si>
  <si>
    <t>COUNTIFS, SUMIFS, AVERAGEIFS</t>
  </si>
  <si>
    <t>Count the number of students who scored above 50 in Math.</t>
  </si>
  <si>
    <t>Sum total sales for a specific region and product.</t>
  </si>
  <si>
    <t>Calculate the average score for students who scored above 60.</t>
  </si>
  <si>
    <t>VLOOKUP Function</t>
  </si>
  <si>
    <t>Fetch student names based on ID from a separate dataset.</t>
  </si>
  <si>
    <t>Retrieve product prices based on product codes.</t>
  </si>
  <si>
    <t>INDEX and MATCH Functions</t>
  </si>
  <si>
    <t>Find sales values for a specific salesperson in a specific month.</t>
  </si>
  <si>
    <t>Look up employee details dynamically without column restrictions.</t>
  </si>
  <si>
    <t>Excel TEXT Functions</t>
  </si>
  <si>
    <t>Extract the first name from full names using LEFT and FIND.</t>
  </si>
  <si>
    <t>Convert names to uppercase/lowercase using UPPER(), LOWER().</t>
  </si>
  <si>
    <t>XLOOKUP Function</t>
  </si>
  <si>
    <t>Search for salesperson performance based on flexible search criteria.</t>
  </si>
  <si>
    <t>Find employee salaries without worrying about sorted data.</t>
  </si>
  <si>
    <t>XMATCH Function</t>
  </si>
  <si>
    <t>Find the position of a product in a sales list.</t>
  </si>
  <si>
    <t>INDIRECT Function</t>
  </si>
  <si>
    <t>Dynamically reference a cell range using INDIRECT.</t>
  </si>
  <si>
    <t>OFFSET Function</t>
  </si>
  <si>
    <t>Create dynamic ranges for sales trends.</t>
  </si>
  <si>
    <t>Date and Time Functions</t>
  </si>
  <si>
    <t>Calculate age from date of birth.</t>
  </si>
  <si>
    <t>Find the difference in days between two dates.</t>
  </si>
  <si>
    <t>Math Functions</t>
  </si>
  <si>
    <t>Use ROUND(), CEILING(), and FLOOR() for financial calculations.</t>
  </si>
  <si>
    <t>Return Multiple Values using FILTER Function</t>
  </si>
  <si>
    <t>Extract a list of top-performing students based on scores.</t>
  </si>
  <si>
    <t>Project Note: Product Price/Product Code and Date of Birth fields are not present in the supplied datasets; these two tasks are documented in the Task Solutions sheet.</t>
  </si>
  <si>
    <t>Employee ID</t>
  </si>
  <si>
    <t>Name</t>
  </si>
  <si>
    <t>Department</t>
  </si>
  <si>
    <t>Salary</t>
  </si>
  <si>
    <t>Joining Date</t>
  </si>
  <si>
    <t>Joining Year</t>
  </si>
  <si>
    <t>Joining Month</t>
  </si>
  <si>
    <t>Salary +10%</t>
  </si>
  <si>
    <t>Absolute Reference Input</t>
  </si>
  <si>
    <t>Employee 1</t>
  </si>
  <si>
    <t>Finance</t>
  </si>
  <si>
    <t>Employee 2</t>
  </si>
  <si>
    <t>Used by Salary +10% formulas as $J$2</t>
  </si>
  <si>
    <t>Employee 3</t>
  </si>
  <si>
    <t>HR</t>
  </si>
  <si>
    <t>Employee 4</t>
  </si>
  <si>
    <t>Employee 5</t>
  </si>
  <si>
    <t>IT</t>
  </si>
  <si>
    <t>Employee 6</t>
  </si>
  <si>
    <t>Employee 7</t>
  </si>
  <si>
    <t>Marketing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</si>
  <si>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</si>
  <si>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</si>
  <si>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</si>
  <si>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</si>
  <si>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</si>
  <si>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</si>
  <si>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</si>
  <si>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</si>
  <si>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</si>
  <si>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</si>
  <si>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</si>
  <si>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</si>
  <si>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</si>
  <si>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Sales ID</t>
  </si>
  <si>
    <t>Product</t>
  </si>
  <si>
    <t>Region</t>
  </si>
  <si>
    <t>Salesperson</t>
  </si>
  <si>
    <t>Amount</t>
  </si>
  <si>
    <t>Date</t>
  </si>
  <si>
    <t>Month</t>
  </si>
  <si>
    <t>Discount %</t>
  </si>
  <si>
    <t>Discount Amount</t>
  </si>
  <si>
    <t>Keyboard</t>
  </si>
  <si>
    <t>South</t>
  </si>
  <si>
    <t>Person 1</t>
  </si>
  <si>
    <t>Printer</t>
  </si>
  <si>
    <t>West</t>
  </si>
  <si>
    <t>Person 2</t>
  </si>
  <si>
    <t>Mouse</t>
  </si>
  <si>
    <t>Person 3</t>
  </si>
  <si>
    <t>East</t>
  </si>
  <si>
    <t>Person 4</t>
  </si>
  <si>
    <t>North</t>
  </si>
  <si>
    <t>Person 5</t>
  </si>
  <si>
    <t>Person 6</t>
  </si>
  <si>
    <t>Person 7</t>
  </si>
  <si>
    <t>Person 8</t>
  </si>
  <si>
    <t>Person 9</t>
  </si>
  <si>
    <t>Person 10</t>
  </si>
  <si>
    <t>Person 11</t>
  </si>
  <si>
    <t>Monitor</t>
  </si>
  <si>
    <t>Person 12</t>
  </si>
  <si>
    <t>Laptop</t>
  </si>
  <si>
    <t>Person 13</t>
  </si>
  <si>
    <t>Person 14</t>
  </si>
  <si>
    <t>Person 15</t>
  </si>
  <si>
    <t>Person 16</t>
  </si>
  <si>
    <t>Person 17</t>
  </si>
  <si>
    <t>Person 18</t>
  </si>
  <si>
    <t>Person 19</t>
  </si>
  <si>
    <t>Person 20</t>
  </si>
  <si>
    <t>Student ID</t>
  </si>
  <si>
    <t>Math</t>
  </si>
  <si>
    <t>Science</t>
  </si>
  <si>
    <t>English</t>
  </si>
  <si>
    <t>Enrollment Date</t>
  </si>
  <si>
    <t>Average</t>
  </si>
  <si>
    <t>Grade</t>
  </si>
  <si>
    <t>Math &amp; Science &gt;80?</t>
  </si>
  <si>
    <t>All Subjects &gt;60?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</si>
  <si>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</si>
  <si>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</si>
  <si>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</si>
  <si>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</si>
  <si>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</si>
  <si>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</si>
  <si>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</si>
  <si>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</si>
  <si>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</si>
  <si>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</si>
  <si>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</si>
  <si>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</si>
  <si>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</si>
  <si>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</si>
  <si>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</si>
  <si>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</si>
  <si>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</si>
  <si>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</si>
  <si>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</si>
  <si>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</si>
  <si>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PR. 1 – MAIN TASKS + ESSENTIAL TASKS | READY FORMULA SHEET</t>
  </si>
  <si>
    <t>#</t>
  </si>
  <si>
    <t>Task / Concept</t>
  </si>
  <si>
    <t>Formula / Action</t>
  </si>
  <si>
    <t>Expected Result / Note</t>
  </si>
  <si>
    <t>Where to Apply</t>
  </si>
  <si>
    <t>Main Task – Student Average</t>
  </si>
  <si>
    <t>Example Student 13 = 95.00</t>
  </si>
  <si>
    <t>Students!G2:G21</t>
  </si>
  <si>
    <t>Main Task – Student Grade (Nested IF)</t>
  </si>
  <si>
    <t>Example Student 13 = A</t>
  </si>
  <si>
    <t>Students!H2:H21</t>
  </si>
  <si>
    <t>Main Task – COUNTIFS Math &gt;60</t>
  </si>
  <si>
    <t>Task Solutions</t>
  </si>
  <si>
    <t>Main Task – VLOOKUP Sales ID 2008</t>
  </si>
  <si>
    <t>Main Task – XLOOKUP Employee 3018</t>
  </si>
  <si>
    <t>Main Task – FILTER Students Average &gt;80</t>
  </si>
  <si>
    <t>Returns Student 12 and Student 13 rows</t>
  </si>
  <si>
    <t>Dynamic array</t>
  </si>
  <si>
    <t>Essential – Relative + Absolute</t>
  </si>
  <si>
    <t>D2 changes when copied; $J$2 stays fixed</t>
  </si>
  <si>
    <t>Employee Data!H2:H21</t>
  </si>
  <si>
    <t>Essential – IF + AND</t>
  </si>
  <si>
    <t>Yes for Student 12 and 13</t>
  </si>
  <si>
    <t>Students!I2:I21</t>
  </si>
  <si>
    <t>Essential – IF + OR</t>
  </si>
  <si>
    <t>Discount eligibility practice</t>
  </si>
  <si>
    <t>Sales Data</t>
  </si>
  <si>
    <t>Essential – COUNTIFS Math &gt;50</t>
  </si>
  <si>
    <t>Essential – SUMIFS South + Keyboard</t>
  </si>
  <si>
    <t>Essential – AVERAGEIFS Average &gt;60</t>
  </si>
  <si>
    <t>Essential – VLOOKUP Student ID 1008</t>
  </si>
  <si>
    <t>Essential – INDEX/MATCH Employee 3016</t>
  </si>
  <si>
    <t>Essential – INDEX/MATCH Person 10 in May</t>
  </si>
  <si>
    <t>Excel 365 / dynamic array</t>
  </si>
  <si>
    <t>Essential – TEXT / First Name</t>
  </si>
  <si>
    <t>Employee</t>
  </si>
  <si>
    <t>Employee Data</t>
  </si>
  <si>
    <t>Essential – UPPER</t>
  </si>
  <si>
    <t>EMPLOYEE 1</t>
  </si>
  <si>
    <t>Essential – LOWER</t>
  </si>
  <si>
    <t>employee 1</t>
  </si>
  <si>
    <t>Essential – XLOOKUP Employee Salary</t>
  </si>
  <si>
    <t>Essential – XMATCH Laptop</t>
  </si>
  <si>
    <t>Position within B2:B21</t>
  </si>
  <si>
    <t>Essential – INDIRECT</t>
  </si>
  <si>
    <t>Returns Employee 4 salary (109972)</t>
  </si>
  <si>
    <t>Dynamic cell reference</t>
  </si>
  <si>
    <t>Essential – OFFSET</t>
  </si>
  <si>
    <t>Sum of first 5 Amount cells = 108800</t>
  </si>
  <si>
    <t>Dynamic range</t>
  </si>
  <si>
    <t>Essential – YEAR</t>
  </si>
  <si>
    <t>Essential – MONTH</t>
  </si>
  <si>
    <t>Essential – DAY</t>
  </si>
  <si>
    <t>Essential – TEXT Date</t>
  </si>
  <si>
    <t>01-Jan-2015</t>
  </si>
  <si>
    <t>Essential – Date Difference</t>
  </si>
  <si>
    <t>Days between first and last employee dates</t>
  </si>
  <si>
    <t>Essential – ROUND</t>
  </si>
  <si>
    <t>7048 rounded to nearest 100</t>
  </si>
  <si>
    <t>Essential – CEILING</t>
  </si>
  <si>
    <t>7048 rounded up to nearest 1000</t>
  </si>
  <si>
    <t>Essential – FLOOR</t>
  </si>
  <si>
    <t>7048 rounded down to nearest 1000</t>
  </si>
  <si>
    <t>Essential – FILTER Top Students</t>
  </si>
  <si>
    <t>Student 12 and Student 13</t>
  </si>
  <si>
    <t>Essential – Age from DOB</t>
  </si>
  <si>
    <t>Add a Date of Birth column, then use =DATEDIF(DOB,TODAY(),"Y")</t>
  </si>
  <si>
    <t>DOB is not present in supplied dataset</t>
  </si>
  <si>
    <t>Needs DOB field</t>
  </si>
  <si>
    <t>Essential – Product Price / Product Code</t>
  </si>
  <si>
    <t>Add Product Code + Price dataset, then use VLOOKUP/XLOOKUP</t>
  </si>
  <si>
    <t>Product Price/Product Code is not present in supplied Sales data</t>
  </si>
  <si>
    <t>Needs price table</t>
  </si>
  <si>
    <t>Project Completion Checklist</t>
  </si>
  <si>
    <t>✓ Employee Data: Year, Month and Salary +10% completed</t>
  </si>
  <si>
    <t>✓ Sales Data: Month, Discount % and Discount Amount completed</t>
  </si>
  <si>
    <t>✓ Students: Average, Grade, AND checks completed</t>
  </si>
  <si>
    <t>✓ Main Tasks covered with formulas and expected outputs</t>
  </si>
  <si>
    <t>✓ Essential Tasks covered with formulas and notes</t>
  </si>
  <si>
    <t>⚠ DOB and Product Price/Product Code tasks need fields that are not in the supplied data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</si>
</sst>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yy"/>
  </numFmts>
  <fonts count="29">
    <font>
      <sz val="11"/>
      <color theme="1"/>
      <name val="Calibri"/>
      <charset val="134"/>
      <scheme val="minor"/>
    </font>
    <font>
      <b/>
      <sz val="16"/>
      <color rgb="FFFFFFFF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3"/>
      <color rgb="FFFFFFFF"/>
      <name val="Calibri"/>
      <charset val="134"/>
      <scheme val="minor"/>
    </font>
    <font>
      <b/>
      <sz val="11"/>
      <name val="Calibri"/>
      <charset val="134"/>
      <scheme val="minor"/>
    </font>
    <font>
      <b/>
      <sz val="16"/>
      <color rgb="FF000000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b/>
      <sz val="13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8" applyNumberFormat="0" applyAlignment="0" applyProtection="0">
      <alignment vertical="center"/>
    </xf>
    <xf numFmtId="0" fontId="19" fillId="8" borderId="9" applyNumberFormat="0" applyAlignment="0" applyProtection="0">
      <alignment vertical="center"/>
    </xf>
    <xf numFmtId="0" fontId="20" fillId="8" borderId="8" applyNumberFormat="0" applyAlignment="0" applyProtection="0">
      <alignment vertical="center"/>
    </xf>
    <xf numFmtId="0" fontId="21" fillId="9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</cellStyleXfs>
  <cellXfs count="30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3" fillId="2" borderId="0" xfId="0" applyFont="1" applyFill="1"/>
    <xf numFmtId="0" fontId="0" fillId="4" borderId="1" xfId="0" applyFill="1" applyBorder="1"/>
    <xf numFmtId="0" fontId="0" fillId="0" borderId="2" xfId="0" applyBorder="1"/>
    <xf numFmtId="0" fontId="0" fillId="0" borderId="3" xfId="0" applyBorder="1"/>
    <xf numFmtId="0" fontId="0" fillId="5" borderId="1" xfId="0" applyFill="1" applyBorder="1"/>
    <xf numFmtId="0" fontId="0" fillId="0" borderId="1" xfId="0" applyBorder="1"/>
    <xf numFmtId="180" fontId="0" fillId="0" borderId="1" xfId="0" applyNumberFormat="1" applyBorder="1"/>
    <xf numFmtId="2" fontId="0" fillId="0" borderId="1" xfId="0" applyNumberFormat="1" applyBorder="1"/>
    <xf numFmtId="3" fontId="0" fillId="0" borderId="1" xfId="0" applyNumberFormat="1" applyBorder="1"/>
    <xf numFmtId="9" fontId="0" fillId="0" borderId="1" xfId="0" applyNumberFormat="1" applyBorder="1"/>
    <xf numFmtId="0" fontId="4" fillId="5" borderId="0" xfId="0" applyFont="1" applyFill="1"/>
    <xf numFmtId="0" fontId="0" fillId="0" borderId="1" xfId="0" applyBorder="1" applyAlignment="1">
      <alignment vertical="center"/>
    </xf>
    <xf numFmtId="3" fontId="0" fillId="0" borderId="1" xfId="0" applyNumberFormat="1" applyBorder="1" applyAlignment="1">
      <alignment vertical="center"/>
    </xf>
    <xf numFmtId="180" fontId="0" fillId="0" borderId="1" xfId="0" applyNumberFormat="1" applyBorder="1" applyAlignment="1">
      <alignment vertical="center"/>
    </xf>
    <xf numFmtId="9" fontId="0" fillId="5" borderId="0" xfId="0" applyNumberFormat="1" applyFill="1"/>
    <xf numFmtId="0" fontId="0" fillId="0" borderId="0" xfId="0" applyAlignment="1">
      <alignment wrapText="1"/>
    </xf>
    <xf numFmtId="0" fontId="5" fillId="5" borderId="4" xfId="0" applyFont="1" applyFill="1" applyBorder="1" applyAlignment="1">
      <alignment horizontal="center" vertical="center" wrapText="1"/>
    </xf>
    <xf numFmtId="0" fontId="0" fillId="0" borderId="4" xfId="0" applyBorder="1"/>
    <xf numFmtId="0" fontId="6" fillId="0" borderId="4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8" fillId="4" borderId="4" xfId="0" applyFont="1" applyFill="1" applyBorder="1" applyAlignment="1">
      <alignment horizontal="left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EmployeeTable" displayName="EmployeeTable" ref="A1:H21">
  <autoFilter xmlns:etc="http://www.wps.cn/officeDocument/2017/etCustomData" ref="A1:H21" etc:filterBottomFollowUsedRange="0"/>
  <tableColumns count="8">
    <tableColumn id="1" name="Employee ID"/>
    <tableColumn id="2" name="Name"/>
    <tableColumn id="3" name="Department"/>
    <tableColumn id="4" name="Salary"/>
    <tableColumn id="5" name="Joining Date"/>
    <tableColumn id="6" name="Joining Year"/>
    <tableColumn id="7" name="Joining Month"/>
    <tableColumn id="8" name="Salary +10%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alesTable" displayName="SalesTable" ref="A1:I21">
  <autoFilter xmlns:etc="http://www.wps.cn/officeDocument/2017/etCustomData" ref="A1:I21" etc:filterBottomFollowUsedRange="0"/>
  <tableColumns count="9">
    <tableColumn id="1" name="Sales ID"/>
    <tableColumn id="2" name="Product"/>
    <tableColumn id="3" name="Region"/>
    <tableColumn id="4" name="Salesperson"/>
    <tableColumn id="5" name="Amount"/>
    <tableColumn id="6" name="Date"/>
    <tableColumn id="7" name="Month"/>
    <tableColumn id="8" name="Discount %"/>
    <tableColumn id="9" name="Discount Amount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StudentTable" displayName="StudentTable" ref="A1:J21">
  <autoFilter xmlns:etc="http://www.wps.cn/officeDocument/2017/etCustomData" ref="A1:J21" etc:filterBottomFollowUsedRange="0"/>
  <tableColumns count="10">
    <tableColumn id="1" name="Student ID"/>
    <tableColumn id="2" name="Name"/>
    <tableColumn id="3" name="Math"/>
    <tableColumn id="4" name="Science"/>
    <tableColumn id="5" name="English"/>
    <tableColumn id="6" name="Enrollment Date"/>
    <tableColumn id="7" name="Average"/>
    <tableColumn id="8" name="Grade"/>
    <tableColumn id="9" name="Math &amp; Science &gt;80?"/>
    <tableColumn id="10" name="All Subjects &gt;60?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75"/>
  <sheetViews>
    <sheetView tabSelected="1" zoomScale="90" zoomScaleNormal="90" workbookViewId="0">
      <pane ySplit="1" topLeftCell="A2" activePane="bottomLeft" state="frozen"/>
      <selection/>
      <selection pane="bottomLeft" activeCell="A1" sqref="A1:F1"/>
    </sheetView>
  </sheetViews>
  <sheetFormatPr defaultColWidth="9" defaultRowHeight="14.5" outlineLevelCol="5"/>
  <cols>
    <col min="1" max="6" width="22" customWidth="1"/>
  </cols>
  <sheetData>
    <row r="1" ht="30" customHeight="1" spans="1:6">
      <c r="A1" s="23" t="s">
        <v>0</v>
      </c>
      <c r="B1" s="24"/>
      <c r="C1" s="24"/>
      <c r="D1" s="24"/>
      <c r="E1" s="24"/>
      <c r="F1" s="24"/>
    </row>
    <row r="2" ht="22" customHeight="1" spans="1:6">
      <c r="A2" s="25" t="s">
        <v>1</v>
      </c>
      <c r="B2" s="24"/>
      <c r="C2" s="24"/>
      <c r="D2" s="24"/>
      <c r="E2" s="24"/>
      <c r="F2" s="24"/>
    </row>
    <row r="3" ht="23" customHeight="1" spans="1:6">
      <c r="A3" s="26" t="s">
        <v>2</v>
      </c>
      <c r="B3" s="24"/>
      <c r="C3" s="24"/>
      <c r="D3" s="24"/>
      <c r="E3" s="24"/>
      <c r="F3" s="24"/>
    </row>
    <row r="4" ht="23" customHeight="1" spans="1:6">
      <c r="A4" s="26" t="s">
        <v>3</v>
      </c>
      <c r="B4" s="24"/>
      <c r="C4" s="24"/>
      <c r="D4" s="24"/>
      <c r="E4" s="24"/>
      <c r="F4" s="24"/>
    </row>
    <row r="5" ht="23" customHeight="1" spans="1:6">
      <c r="A5" s="26" t="s">
        <v>4</v>
      </c>
      <c r="B5" s="24"/>
      <c r="C5" s="24"/>
      <c r="D5" s="24"/>
      <c r="E5" s="24"/>
      <c r="F5" s="24"/>
    </row>
    <row r="6" ht="23" customHeight="1" spans="1:6">
      <c r="A6" s="26" t="s">
        <v>5</v>
      </c>
      <c r="B6" s="24"/>
      <c r="C6" s="24"/>
      <c r="D6" s="24"/>
      <c r="E6" s="24"/>
      <c r="F6" s="24"/>
    </row>
    <row r="7" ht="23" customHeight="1" spans="1:6">
      <c r="A7" s="26" t="s">
        <v>6</v>
      </c>
      <c r="B7" s="24"/>
      <c r="C7" s="24"/>
      <c r="D7" s="24"/>
      <c r="E7" s="24"/>
      <c r="F7" s="24"/>
    </row>
    <row r="8" ht="23" customHeight="1" spans="1:6">
      <c r="A8" s="26" t="s">
        <v>7</v>
      </c>
      <c r="B8" s="24"/>
      <c r="C8" s="24"/>
      <c r="D8" s="24"/>
      <c r="E8" s="24"/>
      <c r="F8" s="24"/>
    </row>
    <row r="9" ht="23" customHeight="1" spans="1:6">
      <c r="A9" s="26" t="s">
        <v>8</v>
      </c>
      <c r="B9" s="24"/>
      <c r="C9" s="24"/>
      <c r="D9" s="24"/>
      <c r="E9" s="24"/>
      <c r="F9" s="24"/>
    </row>
    <row r="10" ht="23" customHeight="1" spans="1:6">
      <c r="A10" s="26" t="s">
        <v>9</v>
      </c>
      <c r="B10" s="24"/>
      <c r="C10" s="24"/>
      <c r="D10" s="24"/>
      <c r="E10" s="24"/>
      <c r="F10" s="24"/>
    </row>
    <row r="12" ht="27" customHeight="1" spans="1:6">
      <c r="A12" s="27" t="s">
        <v>10</v>
      </c>
      <c r="B12" s="24"/>
      <c r="C12" s="24"/>
      <c r="D12" s="24"/>
      <c r="E12" s="24"/>
      <c r="F12" s="24"/>
    </row>
    <row r="13" ht="25" customHeight="1" spans="1:6">
      <c r="A13" s="26" t="s">
        <v>11</v>
      </c>
      <c r="B13" s="24"/>
      <c r="C13" s="24"/>
      <c r="D13" s="24"/>
      <c r="E13" s="24"/>
      <c r="F13" s="24"/>
    </row>
    <row r="14" ht="25" customHeight="1" spans="1:6">
      <c r="A14" s="26" t="s">
        <v>12</v>
      </c>
      <c r="B14" s="24"/>
      <c r="C14" s="24"/>
      <c r="D14" s="24"/>
      <c r="E14" s="24"/>
      <c r="F14" s="24"/>
    </row>
    <row r="15" ht="25" customHeight="1" spans="1:6">
      <c r="A15" s="26" t="s">
        <v>13</v>
      </c>
      <c r="B15" s="24"/>
      <c r="C15" s="24"/>
      <c r="D15" s="24"/>
      <c r="E15" s="24"/>
      <c r="F15" s="24"/>
    </row>
    <row r="16" ht="25" customHeight="1" spans="1:6">
      <c r="A16" s="26" t="s">
        <v>14</v>
      </c>
      <c r="B16" s="24"/>
      <c r="C16" s="24"/>
      <c r="D16" s="24"/>
      <c r="E16" s="24"/>
      <c r="F16" s="24"/>
    </row>
    <row r="17" ht="25" customHeight="1" spans="1:6">
      <c r="A17" s="26" t="s">
        <v>15</v>
      </c>
      <c r="B17" s="24"/>
      <c r="C17" s="24"/>
      <c r="D17" s="24"/>
      <c r="E17" s="24"/>
      <c r="F17" s="24"/>
    </row>
    <row r="18" ht="25" customHeight="1" spans="1:6">
      <c r="A18" s="26" t="s">
        <v>16</v>
      </c>
      <c r="B18" s="24"/>
      <c r="C18" s="24"/>
      <c r="D18" s="24"/>
      <c r="E18" s="24"/>
      <c r="F18" s="24"/>
    </row>
    <row r="19" ht="24" customHeight="1" spans="1:6">
      <c r="A19" s="25" t="s">
        <v>17</v>
      </c>
      <c r="B19" s="24"/>
      <c r="C19" s="24"/>
      <c r="D19" s="24"/>
      <c r="E19" s="24"/>
      <c r="F19" s="24"/>
    </row>
    <row r="20" ht="30" customHeight="1" spans="1:6">
      <c r="A20" s="26" t="s">
        <v>18</v>
      </c>
      <c r="B20" s="24"/>
      <c r="C20" s="24"/>
      <c r="D20" s="24"/>
      <c r="E20" s="24"/>
      <c r="F20" s="24"/>
    </row>
    <row r="22" ht="28" customHeight="1" spans="1:6">
      <c r="A22" s="28" t="s">
        <v>19</v>
      </c>
      <c r="B22" s="24"/>
      <c r="C22" s="24"/>
      <c r="D22" s="24"/>
      <c r="E22" s="24"/>
      <c r="F22" s="24"/>
    </row>
    <row r="23" ht="25" customHeight="1" spans="1:6">
      <c r="A23" s="25" t="s">
        <v>20</v>
      </c>
      <c r="B23" s="24"/>
      <c r="C23" s="24"/>
      <c r="D23" s="24"/>
      <c r="E23" s="24"/>
      <c r="F23" s="24"/>
    </row>
    <row r="24" ht="25" customHeight="1" spans="1:6">
      <c r="A24" s="26" t="s">
        <v>21</v>
      </c>
      <c r="B24" s="24"/>
      <c r="C24" s="24"/>
      <c r="D24" s="24"/>
      <c r="E24" s="24"/>
      <c r="F24" s="24"/>
    </row>
    <row r="25" ht="25" customHeight="1" spans="1:6">
      <c r="A25" s="26" t="s">
        <v>22</v>
      </c>
      <c r="B25" s="24"/>
      <c r="C25" s="24"/>
      <c r="D25" s="24"/>
      <c r="E25" s="24"/>
      <c r="F25" s="24"/>
    </row>
    <row r="27" ht="25" customHeight="1" spans="1:6">
      <c r="A27" s="25" t="s">
        <v>23</v>
      </c>
      <c r="B27" s="24"/>
      <c r="C27" s="24"/>
      <c r="D27" s="24"/>
      <c r="E27" s="24"/>
      <c r="F27" s="24"/>
    </row>
    <row r="28" ht="25" customHeight="1" spans="1:6">
      <c r="A28" s="26" t="s">
        <v>24</v>
      </c>
      <c r="B28" s="24"/>
      <c r="C28" s="24"/>
      <c r="D28" s="24"/>
      <c r="E28" s="24"/>
      <c r="F28" s="24"/>
    </row>
    <row r="29" ht="25" customHeight="1" spans="1:6">
      <c r="A29" s="26" t="s">
        <v>25</v>
      </c>
      <c r="B29" s="24"/>
      <c r="C29" s="24"/>
      <c r="D29" s="24"/>
      <c r="E29" s="24"/>
      <c r="F29" s="24"/>
    </row>
    <row r="31" ht="25" customHeight="1" spans="1:6">
      <c r="A31" s="25" t="s">
        <v>26</v>
      </c>
      <c r="B31" s="24"/>
      <c r="C31" s="24"/>
      <c r="D31" s="24"/>
      <c r="E31" s="24"/>
      <c r="F31" s="24"/>
    </row>
    <row r="32" ht="25" customHeight="1" spans="1:6">
      <c r="A32" s="26" t="s">
        <v>27</v>
      </c>
      <c r="B32" s="24"/>
      <c r="C32" s="24"/>
      <c r="D32" s="24"/>
      <c r="E32" s="24"/>
      <c r="F32" s="24"/>
    </row>
    <row r="33" ht="25" customHeight="1" spans="1:6">
      <c r="A33" s="26" t="s">
        <v>28</v>
      </c>
      <c r="B33" s="24"/>
      <c r="C33" s="24"/>
      <c r="D33" s="24"/>
      <c r="E33" s="24"/>
      <c r="F33" s="24"/>
    </row>
    <row r="35" ht="25" customHeight="1" spans="1:6">
      <c r="A35" s="25" t="s">
        <v>29</v>
      </c>
      <c r="B35" s="24"/>
      <c r="C35" s="24"/>
      <c r="D35" s="24"/>
      <c r="E35" s="24"/>
      <c r="F35" s="24"/>
    </row>
    <row r="36" ht="25" customHeight="1" spans="1:6">
      <c r="A36" s="26" t="s">
        <v>30</v>
      </c>
      <c r="B36" s="24"/>
      <c r="C36" s="24"/>
      <c r="D36" s="24"/>
      <c r="E36" s="24"/>
      <c r="F36" s="24"/>
    </row>
    <row r="37" ht="25" customHeight="1" spans="1:6">
      <c r="A37" s="26" t="s">
        <v>31</v>
      </c>
      <c r="B37" s="24"/>
      <c r="C37" s="24"/>
      <c r="D37" s="24"/>
      <c r="E37" s="24"/>
      <c r="F37" s="24"/>
    </row>
    <row r="38" ht="25" customHeight="1" spans="1:6">
      <c r="A38" s="26" t="s">
        <v>32</v>
      </c>
      <c r="B38" s="24"/>
      <c r="C38" s="24"/>
      <c r="D38" s="24"/>
      <c r="E38" s="24"/>
      <c r="F38" s="24"/>
    </row>
    <row r="40" ht="25" customHeight="1" spans="1:6">
      <c r="A40" s="25" t="s">
        <v>33</v>
      </c>
      <c r="B40" s="24"/>
      <c r="C40" s="24"/>
      <c r="D40" s="24"/>
      <c r="E40" s="24"/>
      <c r="F40" s="24"/>
    </row>
    <row r="41" ht="25" customHeight="1" spans="1:6">
      <c r="A41" s="26" t="s">
        <v>34</v>
      </c>
      <c r="B41" s="24"/>
      <c r="C41" s="24"/>
      <c r="D41" s="24"/>
      <c r="E41" s="24"/>
      <c r="F41" s="24"/>
    </row>
    <row r="42" ht="25" customHeight="1" spans="1:6">
      <c r="A42" s="26" t="s">
        <v>35</v>
      </c>
      <c r="B42" s="24"/>
      <c r="C42" s="24"/>
      <c r="D42" s="24"/>
      <c r="E42" s="24"/>
      <c r="F42" s="24"/>
    </row>
    <row r="44" ht="25" customHeight="1" spans="1:6">
      <c r="A44" s="25" t="s">
        <v>36</v>
      </c>
      <c r="B44" s="24"/>
      <c r="C44" s="24"/>
      <c r="D44" s="24"/>
      <c r="E44" s="24"/>
      <c r="F44" s="24"/>
    </row>
    <row r="45" ht="25" customHeight="1" spans="1:6">
      <c r="A45" s="26" t="s">
        <v>37</v>
      </c>
      <c r="B45" s="24"/>
      <c r="C45" s="24"/>
      <c r="D45" s="24"/>
      <c r="E45" s="24"/>
      <c r="F45" s="24"/>
    </row>
    <row r="46" ht="25" customHeight="1" spans="1:6">
      <c r="A46" s="26" t="s">
        <v>38</v>
      </c>
      <c r="B46" s="24"/>
      <c r="C46" s="24"/>
      <c r="D46" s="24"/>
      <c r="E46" s="24"/>
      <c r="F46" s="24"/>
    </row>
    <row r="48" ht="25" customHeight="1" spans="1:6">
      <c r="A48" s="25" t="s">
        <v>39</v>
      </c>
      <c r="B48" s="24"/>
      <c r="C48" s="24"/>
      <c r="D48" s="24"/>
      <c r="E48" s="24"/>
      <c r="F48" s="24"/>
    </row>
    <row r="49" ht="25" customHeight="1" spans="1:6">
      <c r="A49" s="26" t="s">
        <v>40</v>
      </c>
      <c r="B49" s="24"/>
      <c r="C49" s="24"/>
      <c r="D49" s="24"/>
      <c r="E49" s="24"/>
      <c r="F49" s="24"/>
    </row>
    <row r="50" ht="25" customHeight="1" spans="1:6">
      <c r="A50" s="26" t="s">
        <v>41</v>
      </c>
      <c r="B50" s="24"/>
      <c r="C50" s="24"/>
      <c r="D50" s="24"/>
      <c r="E50" s="24"/>
      <c r="F50" s="24"/>
    </row>
    <row r="52" ht="25" customHeight="1" spans="1:6">
      <c r="A52" s="25" t="s">
        <v>42</v>
      </c>
      <c r="B52" s="24"/>
      <c r="C52" s="24"/>
      <c r="D52" s="24"/>
      <c r="E52" s="24"/>
      <c r="F52" s="24"/>
    </row>
    <row r="53" ht="25" customHeight="1" spans="1:6">
      <c r="A53" s="26" t="s">
        <v>43</v>
      </c>
      <c r="B53" s="24"/>
      <c r="C53" s="24"/>
      <c r="D53" s="24"/>
      <c r="E53" s="24"/>
      <c r="F53" s="24"/>
    </row>
    <row r="54" ht="25" customHeight="1" spans="1:6">
      <c r="A54" s="26" t="s">
        <v>44</v>
      </c>
      <c r="B54" s="24"/>
      <c r="C54" s="24"/>
      <c r="D54" s="24"/>
      <c r="E54" s="24"/>
      <c r="F54" s="24"/>
    </row>
    <row r="56" ht="25" customHeight="1" spans="1:6">
      <c r="A56" s="25" t="s">
        <v>45</v>
      </c>
      <c r="B56" s="24"/>
      <c r="C56" s="24"/>
      <c r="D56" s="24"/>
      <c r="E56" s="24"/>
      <c r="F56" s="24"/>
    </row>
    <row r="57" ht="25" customHeight="1" spans="1:6">
      <c r="A57" s="26" t="s">
        <v>46</v>
      </c>
      <c r="B57" s="24"/>
      <c r="C57" s="24"/>
      <c r="D57" s="24"/>
      <c r="E57" s="24"/>
      <c r="F57" s="24"/>
    </row>
    <row r="59" ht="25" customHeight="1" spans="1:6">
      <c r="A59" s="25" t="s">
        <v>47</v>
      </c>
      <c r="B59" s="24"/>
      <c r="C59" s="24"/>
      <c r="D59" s="24"/>
      <c r="E59" s="24"/>
      <c r="F59" s="24"/>
    </row>
    <row r="60" ht="25" customHeight="1" spans="1:6">
      <c r="A60" s="26" t="s">
        <v>48</v>
      </c>
      <c r="B60" s="24"/>
      <c r="C60" s="24"/>
      <c r="D60" s="24"/>
      <c r="E60" s="24"/>
      <c r="F60" s="24"/>
    </row>
    <row r="62" ht="25" customHeight="1" spans="1:6">
      <c r="A62" s="25" t="s">
        <v>49</v>
      </c>
      <c r="B62" s="24"/>
      <c r="C62" s="24"/>
      <c r="D62" s="24"/>
      <c r="E62" s="24"/>
      <c r="F62" s="24"/>
    </row>
    <row r="63" ht="25" customHeight="1" spans="1:6">
      <c r="A63" s="26" t="s">
        <v>50</v>
      </c>
      <c r="B63" s="24"/>
      <c r="C63" s="24"/>
      <c r="D63" s="24"/>
      <c r="E63" s="24"/>
      <c r="F63" s="24"/>
    </row>
    <row r="65" ht="25" customHeight="1" spans="1:6">
      <c r="A65" s="25" t="s">
        <v>51</v>
      </c>
      <c r="B65" s="24"/>
      <c r="C65" s="24"/>
      <c r="D65" s="24"/>
      <c r="E65" s="24"/>
      <c r="F65" s="24"/>
    </row>
    <row r="66" ht="25" customHeight="1" spans="1:6">
      <c r="A66" s="26" t="s">
        <v>52</v>
      </c>
      <c r="B66" s="24"/>
      <c r="C66" s="24"/>
      <c r="D66" s="24"/>
      <c r="E66" s="24"/>
      <c r="F66" s="24"/>
    </row>
    <row r="67" ht="25" customHeight="1" spans="1:6">
      <c r="A67" s="26" t="s">
        <v>53</v>
      </c>
      <c r="B67" s="24"/>
      <c r="C67" s="24"/>
      <c r="D67" s="24"/>
      <c r="E67" s="24"/>
      <c r="F67" s="24"/>
    </row>
    <row r="69" ht="25" customHeight="1" spans="1:6">
      <c r="A69" s="25" t="s">
        <v>54</v>
      </c>
      <c r="B69" s="24"/>
      <c r="C69" s="24"/>
      <c r="D69" s="24"/>
      <c r="E69" s="24"/>
      <c r="F69" s="24"/>
    </row>
    <row r="70" ht="25" customHeight="1" spans="1:6">
      <c r="A70" s="26" t="s">
        <v>55</v>
      </c>
      <c r="B70" s="24"/>
      <c r="C70" s="24"/>
      <c r="D70" s="24"/>
      <c r="E70" s="24"/>
      <c r="F70" s="24"/>
    </row>
    <row r="72" ht="25" customHeight="1" spans="1:6">
      <c r="A72" s="25" t="s">
        <v>56</v>
      </c>
      <c r="B72" s="24"/>
      <c r="C72" s="24"/>
      <c r="D72" s="24"/>
      <c r="E72" s="24"/>
      <c r="F72" s="24"/>
    </row>
    <row r="73" ht="25" customHeight="1" spans="1:6">
      <c r="A73" s="26" t="s">
        <v>57</v>
      </c>
      <c r="B73" s="24"/>
      <c r="C73" s="24"/>
      <c r="D73" s="24"/>
      <c r="E73" s="24"/>
      <c r="F73" s="24"/>
    </row>
    <row r="75" ht="38" customHeight="1" spans="1:6">
      <c r="A75" s="29" t="s">
        <v>58</v>
      </c>
      <c r="B75" s="24"/>
      <c r="C75" s="24"/>
      <c r="D75" s="24"/>
      <c r="E75" s="24"/>
      <c r="F75" s="24"/>
    </row>
  </sheetData>
  <mergeCells count="59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A10:F10"/>
    <mergeCell ref="A12:F12"/>
    <mergeCell ref="A13:F13"/>
    <mergeCell ref="A14:F14"/>
    <mergeCell ref="A15:F15"/>
    <mergeCell ref="A16:F16"/>
    <mergeCell ref="A17:F17"/>
    <mergeCell ref="A18:F18"/>
    <mergeCell ref="A19:F19"/>
    <mergeCell ref="A20:F20"/>
    <mergeCell ref="A22:F22"/>
    <mergeCell ref="A23:F23"/>
    <mergeCell ref="A24:F24"/>
    <mergeCell ref="A25:F25"/>
    <mergeCell ref="A27:F27"/>
    <mergeCell ref="A28:F28"/>
    <mergeCell ref="A29:F29"/>
    <mergeCell ref="A31:F31"/>
    <mergeCell ref="A32:F32"/>
    <mergeCell ref="A33:F33"/>
    <mergeCell ref="A35:F35"/>
    <mergeCell ref="A36:F36"/>
    <mergeCell ref="A37:F37"/>
    <mergeCell ref="A38:F38"/>
    <mergeCell ref="A40:F40"/>
    <mergeCell ref="A41:F41"/>
    <mergeCell ref="A42:F42"/>
    <mergeCell ref="A44:F44"/>
    <mergeCell ref="A45:F45"/>
    <mergeCell ref="A46:F46"/>
    <mergeCell ref="A48:F48"/>
    <mergeCell ref="A49:F49"/>
    <mergeCell ref="A50:F50"/>
    <mergeCell ref="A52:F52"/>
    <mergeCell ref="A53:F53"/>
    <mergeCell ref="A54:F54"/>
    <mergeCell ref="A56:F56"/>
    <mergeCell ref="A57:F57"/>
    <mergeCell ref="A59:F59"/>
    <mergeCell ref="A60:F60"/>
    <mergeCell ref="A62:F62"/>
    <mergeCell ref="A63:F63"/>
    <mergeCell ref="A65:F65"/>
    <mergeCell ref="A66:F66"/>
    <mergeCell ref="A67:F67"/>
    <mergeCell ref="A69:F69"/>
    <mergeCell ref="A70:F70"/>
    <mergeCell ref="A72:F72"/>
    <mergeCell ref="A73:F73"/>
    <mergeCell ref="A75:F75"/>
  </mergeCells>
  <pageMargins left="0.75" right="0.75" top="1" bottom="1" header="0.5" footer="0.5"/>
  <pageSetup paperSize="1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2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5"/>
  <cols>
    <col min="1" max="2" width="13" customWidth="1"/>
    <col min="3" max="3" width="12" customWidth="1"/>
    <col min="4" max="4" width="10" customWidth="1"/>
    <col min="5" max="5" width="21" customWidth="1"/>
    <col min="6" max="6" width="14" customWidth="1"/>
    <col min="7" max="7" width="19" customWidth="1"/>
    <col min="8" max="8" width="15" customWidth="1"/>
    <col min="9" max="9" width="10" customWidth="1"/>
    <col min="10" max="10" width="28" customWidth="1"/>
    <col min="11" max="11" width="10" customWidth="1"/>
  </cols>
  <sheetData>
    <row r="1" spans="1:10">
      <c r="A1" s="2" t="s">
        <v>59</v>
      </c>
      <c r="B1" s="2" t="s">
        <v>60</v>
      </c>
      <c r="C1" s="2" t="s">
        <v>61</v>
      </c>
      <c r="D1" s="2" t="s">
        <v>62</v>
      </c>
      <c r="E1" s="2" t="s">
        <v>63</v>
      </c>
      <c r="F1" s="2" t="s">
        <v>64</v>
      </c>
      <c r="G1" s="2" t="s">
        <v>65</v>
      </c>
      <c r="H1" s="2" t="s">
        <v>66</v>
      </c>
      <c r="J1" s="17" t="s">
        <v>67</v>
      </c>
    </row>
    <row r="2" spans="1:10">
      <c r="A2" s="18">
        <v>3001</v>
      </c>
      <c r="B2" s="18" t="s">
        <v>68</v>
      </c>
      <c r="C2" s="18" t="s">
        <v>69</v>
      </c>
      <c r="D2" s="19">
        <v>86766</v>
      </c>
      <c r="E2" s="20">
        <v>42005</v>
      </c>
      <c r="F2" s="18">
        <f t="shared" ref="F2:F21" si="0">YEAR(E2)</f>
        <v>2015</v>
      </c>
      <c r="G2" s="18" t="str">
        <f t="shared" ref="G2:G21" si="1">TEXT(E2,"mmmm")</f>
        <v>January</v>
      </c>
      <c r="H2" s="19">
        <f t="shared" ref="H2:H21" si="2">D2*(1+$J$2)</f>
        <v>95442.6</v>
      </c>
      <c r="J2" s="21">
        <v>0.1</v>
      </c>
    </row>
    <row r="3" spans="1:10">
      <c r="A3" s="18">
        <v>3002</v>
      </c>
      <c r="B3" s="18" t="s">
        <v>70</v>
      </c>
      <c r="C3" s="18" t="s">
        <v>69</v>
      </c>
      <c r="D3" s="19">
        <v>31943</v>
      </c>
      <c r="E3" s="20">
        <v>42255</v>
      </c>
      <c r="F3" s="18">
        <f t="shared" si="0"/>
        <v>2015</v>
      </c>
      <c r="G3" s="18" t="str">
        <f t="shared" si="1"/>
        <v>September</v>
      </c>
      <c r="H3" s="19">
        <f t="shared" si="2"/>
        <v>35137.3</v>
      </c>
      <c r="J3" s="22" t="s">
        <v>71</v>
      </c>
    </row>
    <row r="4" spans="1:10">
      <c r="A4" s="18">
        <v>3003</v>
      </c>
      <c r="B4" s="18" t="s">
        <v>72</v>
      </c>
      <c r="C4" s="18" t="s">
        <v>73</v>
      </c>
      <c r="D4" s="19">
        <v>63374</v>
      </c>
      <c r="E4" s="20">
        <v>42505</v>
      </c>
      <c r="F4" s="18">
        <f t="shared" si="0"/>
        <v>2016</v>
      </c>
      <c r="G4" s="18" t="str">
        <f t="shared" si="1"/>
        <v>May</v>
      </c>
      <c r="H4" s="19">
        <f t="shared" si="2"/>
        <v>69711.4</v>
      </c>
    </row>
    <row r="5" spans="1:10">
      <c r="A5" s="18">
        <v>3004</v>
      </c>
      <c r="B5" s="18" t="s">
        <v>74</v>
      </c>
      <c r="C5" s="18" t="s">
        <v>69</v>
      </c>
      <c r="D5" s="19">
        <v>109972</v>
      </c>
      <c r="E5" s="20">
        <v>42755</v>
      </c>
      <c r="F5" s="18">
        <f t="shared" si="0"/>
        <v>2017</v>
      </c>
      <c r="G5" s="18" t="str">
        <f t="shared" si="1"/>
        <v>January</v>
      </c>
      <c r="H5" s="19">
        <f t="shared" si="2"/>
        <v>120969.2</v>
      </c>
    </row>
    <row r="6" spans="1:10">
      <c r="A6" s="18">
        <v>3005</v>
      </c>
      <c r="B6" s="18" t="s">
        <v>75</v>
      </c>
      <c r="C6" s="18" t="s">
        <v>76</v>
      </c>
      <c r="D6" s="19">
        <v>54149</v>
      </c>
      <c r="E6" s="20">
        <v>43005</v>
      </c>
      <c r="F6" s="18">
        <f t="shared" si="0"/>
        <v>2017</v>
      </c>
      <c r="G6" s="18" t="str">
        <f t="shared" si="1"/>
        <v>September</v>
      </c>
      <c r="H6" s="19">
        <f t="shared" si="2"/>
        <v>59563.9</v>
      </c>
    </row>
    <row r="7" spans="1:10">
      <c r="A7" s="18">
        <v>3006</v>
      </c>
      <c r="B7" s="18" t="s">
        <v>77</v>
      </c>
      <c r="C7" s="18" t="s">
        <v>76</v>
      </c>
      <c r="D7" s="19">
        <v>78689</v>
      </c>
      <c r="E7" s="20">
        <v>43255</v>
      </c>
      <c r="F7" s="18">
        <f t="shared" si="0"/>
        <v>2018</v>
      </c>
      <c r="G7" s="18" t="str">
        <f t="shared" si="1"/>
        <v>June</v>
      </c>
      <c r="H7" s="19">
        <f t="shared" si="2"/>
        <v>86557.9</v>
      </c>
    </row>
    <row r="8" spans="1:10">
      <c r="A8" s="18">
        <v>3007</v>
      </c>
      <c r="B8" s="18" t="s">
        <v>78</v>
      </c>
      <c r="C8" s="18" t="s">
        <v>79</v>
      </c>
      <c r="D8" s="19">
        <v>35960</v>
      </c>
      <c r="E8" s="20">
        <v>43505</v>
      </c>
      <c r="F8" s="18">
        <f t="shared" si="0"/>
        <v>2019</v>
      </c>
      <c r="G8" s="18" t="str">
        <f t="shared" si="1"/>
        <v>February</v>
      </c>
      <c r="H8" s="19">
        <f t="shared" si="2"/>
        <v>39556</v>
      </c>
    </row>
    <row r="9" spans="1:10">
      <c r="A9" s="18">
        <v>3008</v>
      </c>
      <c r="B9" s="18" t="s">
        <v>80</v>
      </c>
      <c r="C9" s="18" t="s">
        <v>76</v>
      </c>
      <c r="D9" s="19">
        <v>91659</v>
      </c>
      <c r="E9" s="20">
        <v>43755</v>
      </c>
      <c r="F9" s="18">
        <f t="shared" si="0"/>
        <v>2019</v>
      </c>
      <c r="G9" s="18" t="str">
        <f t="shared" si="1"/>
        <v>October</v>
      </c>
      <c r="H9" s="19">
        <f t="shared" si="2"/>
        <v>100824.9</v>
      </c>
    </row>
    <row r="10" spans="1:10">
      <c r="A10" s="18">
        <v>3009</v>
      </c>
      <c r="B10" s="18" t="s">
        <v>81</v>
      </c>
      <c r="C10" s="18" t="s">
        <v>76</v>
      </c>
      <c r="D10" s="19">
        <v>90423</v>
      </c>
      <c r="E10" s="20">
        <v>44005</v>
      </c>
      <c r="F10" s="18">
        <f t="shared" si="0"/>
        <v>2020</v>
      </c>
      <c r="G10" s="18" t="str">
        <f t="shared" si="1"/>
        <v>June</v>
      </c>
      <c r="H10" s="19">
        <f t="shared" si="2"/>
        <v>99465.3</v>
      </c>
    </row>
    <row r="11" spans="1:10">
      <c r="A11" s="18">
        <v>3010</v>
      </c>
      <c r="B11" s="18" t="s">
        <v>82</v>
      </c>
      <c r="C11" s="18" t="s">
        <v>73</v>
      </c>
      <c r="D11" s="19">
        <v>107877</v>
      </c>
      <c r="E11" s="20">
        <v>44255</v>
      </c>
      <c r="F11" s="18">
        <f t="shared" si="0"/>
        <v>2021</v>
      </c>
      <c r="G11" s="18" t="str">
        <f t="shared" si="1"/>
        <v>February</v>
      </c>
      <c r="H11" s="19">
        <f t="shared" si="2"/>
        <v>118664.7</v>
      </c>
    </row>
    <row r="12" spans="1:10">
      <c r="A12" s="18">
        <v>3011</v>
      </c>
      <c r="B12" s="18" t="s">
        <v>83</v>
      </c>
      <c r="C12" s="18" t="s">
        <v>69</v>
      </c>
      <c r="D12" s="19">
        <v>107634</v>
      </c>
      <c r="E12" s="20">
        <v>44505</v>
      </c>
      <c r="F12" s="18">
        <f t="shared" si="0"/>
        <v>2021</v>
      </c>
      <c r="G12" s="18" t="str">
        <f t="shared" si="1"/>
        <v>November</v>
      </c>
      <c r="H12" s="19">
        <f t="shared" si="2"/>
        <v>118397.4</v>
      </c>
    </row>
    <row r="13" spans="1:10">
      <c r="A13" s="18">
        <v>3012</v>
      </c>
      <c r="B13" s="18" t="s">
        <v>84</v>
      </c>
      <c r="C13" s="18" t="s">
        <v>69</v>
      </c>
      <c r="D13" s="19">
        <v>35226</v>
      </c>
      <c r="E13" s="20">
        <v>44755</v>
      </c>
      <c r="F13" s="18">
        <f t="shared" si="0"/>
        <v>2022</v>
      </c>
      <c r="G13" s="18" t="str">
        <f t="shared" si="1"/>
        <v>July</v>
      </c>
      <c r="H13" s="19">
        <f t="shared" si="2"/>
        <v>38748.6</v>
      </c>
    </row>
    <row r="14" spans="1:10">
      <c r="A14" s="18">
        <v>3013</v>
      </c>
      <c r="B14" s="18" t="s">
        <v>85</v>
      </c>
      <c r="C14" s="18" t="s">
        <v>73</v>
      </c>
      <c r="D14" s="19">
        <v>40872</v>
      </c>
      <c r="E14" s="20">
        <v>45005</v>
      </c>
      <c r="F14" s="18">
        <f t="shared" si="0"/>
        <v>2023</v>
      </c>
      <c r="G14" s="18" t="str">
        <f t="shared" si="1"/>
        <v>March</v>
      </c>
      <c r="H14" s="19">
        <f t="shared" si="2"/>
        <v>44959.2</v>
      </c>
    </row>
    <row r="15" spans="1:10">
      <c r="A15" s="18">
        <v>3014</v>
      </c>
      <c r="B15" s="18" t="s">
        <v>86</v>
      </c>
      <c r="C15" s="18" t="s">
        <v>73</v>
      </c>
      <c r="D15" s="19">
        <v>55378</v>
      </c>
      <c r="E15" s="20">
        <v>45255</v>
      </c>
      <c r="F15" s="18">
        <f t="shared" si="0"/>
        <v>2023</v>
      </c>
      <c r="G15" s="18" t="str">
        <f t="shared" si="1"/>
        <v>November</v>
      </c>
      <c r="H15" s="19">
        <f t="shared" si="2"/>
        <v>60915.8</v>
      </c>
    </row>
    <row r="16" spans="1:10">
      <c r="A16" s="18">
        <v>3015</v>
      </c>
      <c r="B16" s="18" t="s">
        <v>87</v>
      </c>
      <c r="C16" s="18" t="s">
        <v>73</v>
      </c>
      <c r="D16" s="19">
        <v>63297</v>
      </c>
      <c r="E16" s="20">
        <v>45505</v>
      </c>
      <c r="F16" s="18">
        <f t="shared" si="0"/>
        <v>2024</v>
      </c>
      <c r="G16" s="18" t="str">
        <f t="shared" si="1"/>
        <v>August</v>
      </c>
      <c r="H16" s="19">
        <f t="shared" si="2"/>
        <v>69626.7</v>
      </c>
    </row>
    <row r="17" spans="1:8">
      <c r="A17" s="18">
        <v>3016</v>
      </c>
      <c r="B17" s="18" t="s">
        <v>88</v>
      </c>
      <c r="C17" s="18" t="s">
        <v>69</v>
      </c>
      <c r="D17" s="19">
        <v>114173</v>
      </c>
      <c r="E17" s="20">
        <v>45755</v>
      </c>
      <c r="F17" s="18">
        <f t="shared" si="0"/>
        <v>2025</v>
      </c>
      <c r="G17" s="18" t="str">
        <f t="shared" si="1"/>
        <v>April</v>
      </c>
      <c r="H17" s="19">
        <f t="shared" si="2"/>
        <v>125590.3</v>
      </c>
    </row>
    <row r="18" spans="1:8">
      <c r="A18" s="18">
        <v>3017</v>
      </c>
      <c r="B18" s="18" t="s">
        <v>89</v>
      </c>
      <c r="C18" s="18" t="s">
        <v>73</v>
      </c>
      <c r="D18" s="19">
        <v>86915</v>
      </c>
      <c r="E18" s="20">
        <v>46005</v>
      </c>
      <c r="F18" s="18">
        <f t="shared" si="0"/>
        <v>2025</v>
      </c>
      <c r="G18" s="18" t="str">
        <f t="shared" si="1"/>
        <v>December</v>
      </c>
      <c r="H18" s="19">
        <f t="shared" si="2"/>
        <v>95606.5</v>
      </c>
    </row>
    <row r="19" spans="1:8">
      <c r="A19" s="18">
        <v>3018</v>
      </c>
      <c r="B19" s="18" t="s">
        <v>90</v>
      </c>
      <c r="C19" s="18" t="s">
        <v>76</v>
      </c>
      <c r="D19" s="19">
        <v>116284</v>
      </c>
      <c r="E19" s="20">
        <v>46255</v>
      </c>
      <c r="F19" s="18">
        <f t="shared" si="0"/>
        <v>2026</v>
      </c>
      <c r="G19" s="18" t="str">
        <f t="shared" si="1"/>
        <v>August</v>
      </c>
      <c r="H19" s="19">
        <f t="shared" si="2"/>
        <v>127912.4</v>
      </c>
    </row>
    <row r="20" spans="1:8">
      <c r="A20" s="18">
        <v>3019</v>
      </c>
      <c r="B20" s="18" t="s">
        <v>91</v>
      </c>
      <c r="C20" s="18" t="s">
        <v>79</v>
      </c>
      <c r="D20" s="19">
        <v>116283</v>
      </c>
      <c r="E20" s="20">
        <v>46505</v>
      </c>
      <c r="F20" s="18">
        <f t="shared" si="0"/>
        <v>2027</v>
      </c>
      <c r="G20" s="18" t="str">
        <f t="shared" si="1"/>
        <v>April</v>
      </c>
      <c r="H20" s="19">
        <f t="shared" si="2"/>
        <v>127911.3</v>
      </c>
    </row>
    <row r="21" spans="1:8">
      <c r="A21" s="18">
        <v>3020</v>
      </c>
      <c r="B21" s="18" t="s">
        <v>92</v>
      </c>
      <c r="C21" s="18" t="s">
        <v>79</v>
      </c>
      <c r="D21" s="19">
        <v>99924</v>
      </c>
      <c r="E21" s="20">
        <v>46755</v>
      </c>
      <c r="F21" s="18">
        <f t="shared" si="0"/>
        <v>2028</v>
      </c>
      <c r="G21" s="18" t="str">
        <f t="shared" si="1"/>
        <v>January</v>
      </c>
      <c r="H21" s="19">
        <f t="shared" si="2"/>
        <v>109916.4</v>
      </c>
    </row>
  </sheetData>
  <mergeCells count="1">
    <mergeCell ref="J3:K3"/>
  </mergeCells>
  <pageMargins left="0.75" right="0.75" top="1" bottom="1" header="0.5" footer="0.5"/>
  <pageSetup paperSize="1" fitToHeight="0" orientation="landscape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2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5"/>
  <cols>
    <col min="1" max="3" width="10" customWidth="1"/>
    <col min="4" max="4" width="13" customWidth="1"/>
    <col min="5" max="5" width="10" customWidth="1"/>
    <col min="6" max="6" width="21" customWidth="1"/>
    <col min="7" max="7" width="19" customWidth="1"/>
    <col min="8" max="8" width="28" customWidth="1"/>
    <col min="9" max="9" width="17" customWidth="1"/>
  </cols>
  <sheetData>
    <row r="1" spans="1:9">
      <c r="A1" s="2" t="s">
        <v>93</v>
      </c>
      <c r="B1" s="2" t="s">
        <v>94</v>
      </c>
      <c r="C1" s="2" t="s">
        <v>95</v>
      </c>
      <c r="D1" s="2" t="s">
        <v>96</v>
      </c>
      <c r="E1" s="2" t="s">
        <v>97</v>
      </c>
      <c r="F1" s="2" t="s">
        <v>98</v>
      </c>
      <c r="G1" s="2" t="s">
        <v>99</v>
      </c>
      <c r="H1" s="2" t="s">
        <v>100</v>
      </c>
      <c r="I1" s="2" t="s">
        <v>101</v>
      </c>
    </row>
    <row r="2" spans="1:9">
      <c r="A2" s="12">
        <v>2001</v>
      </c>
      <c r="B2" s="12" t="s">
        <v>102</v>
      </c>
      <c r="C2" s="12" t="s">
        <v>103</v>
      </c>
      <c r="D2" s="12" t="s">
        <v>104</v>
      </c>
      <c r="E2" s="15">
        <v>7048</v>
      </c>
      <c r="F2" s="13">
        <v>44927</v>
      </c>
      <c r="G2" s="12" t="str">
        <f t="shared" ref="G2:G21" si="0">TEXT(F2,"mmmm")</f>
        <v>January</v>
      </c>
      <c r="H2" s="16">
        <f t="shared" ref="H2:H21" si="1">IF(E2&gt;=40000,20%,IF(E2&gt;=20000,10%,5%))</f>
        <v>0.05</v>
      </c>
      <c r="I2" s="15">
        <f t="shared" ref="I2:I21" si="2">E2*H2</f>
        <v>352.4</v>
      </c>
    </row>
    <row r="3" spans="1:9">
      <c r="A3" s="12">
        <v>2002</v>
      </c>
      <c r="B3" s="12" t="s">
        <v>105</v>
      </c>
      <c r="C3" s="12" t="s">
        <v>106</v>
      </c>
      <c r="D3" s="12" t="s">
        <v>107</v>
      </c>
      <c r="E3" s="15">
        <v>17428</v>
      </c>
      <c r="F3" s="13">
        <v>44942</v>
      </c>
      <c r="G3" s="12" t="str">
        <f t="shared" si="0"/>
        <v>January</v>
      </c>
      <c r="H3" s="16">
        <f t="shared" si="1"/>
        <v>0.05</v>
      </c>
      <c r="I3" s="15">
        <f t="shared" si="2"/>
        <v>871.4</v>
      </c>
    </row>
    <row r="4" spans="1:9">
      <c r="A4" s="12">
        <v>2003</v>
      </c>
      <c r="B4" s="12" t="s">
        <v>108</v>
      </c>
      <c r="C4" s="12" t="s">
        <v>103</v>
      </c>
      <c r="D4" s="12" t="s">
        <v>109</v>
      </c>
      <c r="E4" s="15">
        <v>23672</v>
      </c>
      <c r="F4" s="13">
        <v>44957</v>
      </c>
      <c r="G4" s="12" t="str">
        <f t="shared" si="0"/>
        <v>January</v>
      </c>
      <c r="H4" s="16">
        <f t="shared" si="1"/>
        <v>0.1</v>
      </c>
      <c r="I4" s="15">
        <f t="shared" si="2"/>
        <v>2367.2</v>
      </c>
    </row>
    <row r="5" spans="1:9">
      <c r="A5" s="12">
        <v>2004</v>
      </c>
      <c r="B5" s="12" t="s">
        <v>105</v>
      </c>
      <c r="C5" s="12" t="s">
        <v>110</v>
      </c>
      <c r="D5" s="12" t="s">
        <v>111</v>
      </c>
      <c r="E5" s="15">
        <v>5264</v>
      </c>
      <c r="F5" s="13">
        <v>44972</v>
      </c>
      <c r="G5" s="12" t="str">
        <f t="shared" si="0"/>
        <v>February</v>
      </c>
      <c r="H5" s="16">
        <f t="shared" si="1"/>
        <v>0.05</v>
      </c>
      <c r="I5" s="15">
        <f t="shared" si="2"/>
        <v>263.2</v>
      </c>
    </row>
    <row r="6" spans="1:9">
      <c r="A6" s="12">
        <v>2005</v>
      </c>
      <c r="B6" s="12" t="s">
        <v>102</v>
      </c>
      <c r="C6" s="12" t="s">
        <v>112</v>
      </c>
      <c r="D6" s="12" t="s">
        <v>113</v>
      </c>
      <c r="E6" s="15">
        <v>43388</v>
      </c>
      <c r="F6" s="13">
        <v>44987</v>
      </c>
      <c r="G6" s="12" t="str">
        <f t="shared" si="0"/>
        <v>March</v>
      </c>
      <c r="H6" s="16">
        <f t="shared" si="1"/>
        <v>0.2</v>
      </c>
      <c r="I6" s="15">
        <f t="shared" si="2"/>
        <v>8677.6</v>
      </c>
    </row>
    <row r="7" spans="1:9">
      <c r="A7" s="12">
        <v>2006</v>
      </c>
      <c r="B7" s="12" t="s">
        <v>108</v>
      </c>
      <c r="C7" s="12" t="s">
        <v>112</v>
      </c>
      <c r="D7" s="12" t="s">
        <v>114</v>
      </c>
      <c r="E7" s="15">
        <v>19757</v>
      </c>
      <c r="F7" s="13">
        <v>45002</v>
      </c>
      <c r="G7" s="12" t="str">
        <f t="shared" si="0"/>
        <v>March</v>
      </c>
      <c r="H7" s="16">
        <f t="shared" si="1"/>
        <v>0.05</v>
      </c>
      <c r="I7" s="15">
        <f t="shared" si="2"/>
        <v>987.85</v>
      </c>
    </row>
    <row r="8" spans="1:9">
      <c r="A8" s="12">
        <v>2007</v>
      </c>
      <c r="B8" s="12" t="s">
        <v>108</v>
      </c>
      <c r="C8" s="12" t="s">
        <v>110</v>
      </c>
      <c r="D8" s="12" t="s">
        <v>115</v>
      </c>
      <c r="E8" s="15">
        <v>32058</v>
      </c>
      <c r="F8" s="13">
        <v>45017</v>
      </c>
      <c r="G8" s="12" t="str">
        <f t="shared" si="0"/>
        <v>April</v>
      </c>
      <c r="H8" s="16">
        <f t="shared" si="1"/>
        <v>0.1</v>
      </c>
      <c r="I8" s="15">
        <f t="shared" si="2"/>
        <v>3205.8</v>
      </c>
    </row>
    <row r="9" spans="1:9">
      <c r="A9" s="12">
        <v>2008</v>
      </c>
      <c r="B9" s="12" t="s">
        <v>102</v>
      </c>
      <c r="C9" s="12" t="s">
        <v>110</v>
      </c>
      <c r="D9" s="12" t="s">
        <v>116</v>
      </c>
      <c r="E9" s="15">
        <v>46429</v>
      </c>
      <c r="F9" s="13">
        <v>45032</v>
      </c>
      <c r="G9" s="12" t="str">
        <f t="shared" si="0"/>
        <v>April</v>
      </c>
      <c r="H9" s="16">
        <f t="shared" si="1"/>
        <v>0.2</v>
      </c>
      <c r="I9" s="15">
        <f t="shared" si="2"/>
        <v>9285.8</v>
      </c>
    </row>
    <row r="10" spans="1:9">
      <c r="A10" s="12">
        <v>2009</v>
      </c>
      <c r="B10" s="12" t="s">
        <v>105</v>
      </c>
      <c r="C10" s="12" t="s">
        <v>110</v>
      </c>
      <c r="D10" s="12" t="s">
        <v>117</v>
      </c>
      <c r="E10" s="15">
        <v>19746</v>
      </c>
      <c r="F10" s="13">
        <v>45047</v>
      </c>
      <c r="G10" s="12" t="str">
        <f t="shared" si="0"/>
        <v>May</v>
      </c>
      <c r="H10" s="16">
        <f t="shared" si="1"/>
        <v>0.05</v>
      </c>
      <c r="I10" s="15">
        <f t="shared" si="2"/>
        <v>987.3</v>
      </c>
    </row>
    <row r="11" spans="1:9">
      <c r="A11" s="12">
        <v>2010</v>
      </c>
      <c r="B11" s="12" t="s">
        <v>102</v>
      </c>
      <c r="C11" s="12" t="s">
        <v>103</v>
      </c>
      <c r="D11" s="12" t="s">
        <v>118</v>
      </c>
      <c r="E11" s="15">
        <v>35185</v>
      </c>
      <c r="F11" s="13">
        <v>45062</v>
      </c>
      <c r="G11" s="12" t="str">
        <f t="shared" si="0"/>
        <v>May</v>
      </c>
      <c r="H11" s="16">
        <f t="shared" si="1"/>
        <v>0.1</v>
      </c>
      <c r="I11" s="15">
        <f t="shared" si="2"/>
        <v>3518.5</v>
      </c>
    </row>
    <row r="12" spans="1:9">
      <c r="A12" s="12">
        <v>2011</v>
      </c>
      <c r="B12" s="12" t="s">
        <v>102</v>
      </c>
      <c r="C12" s="12" t="s">
        <v>110</v>
      </c>
      <c r="D12" s="12" t="s">
        <v>119</v>
      </c>
      <c r="E12" s="15">
        <v>33920</v>
      </c>
      <c r="F12" s="13">
        <v>45077</v>
      </c>
      <c r="G12" s="12" t="str">
        <f t="shared" si="0"/>
        <v>May</v>
      </c>
      <c r="H12" s="16">
        <f t="shared" si="1"/>
        <v>0.1</v>
      </c>
      <c r="I12" s="15">
        <f t="shared" si="2"/>
        <v>3392</v>
      </c>
    </row>
    <row r="13" spans="1:9">
      <c r="A13" s="12">
        <v>2012</v>
      </c>
      <c r="B13" s="12" t="s">
        <v>120</v>
      </c>
      <c r="C13" s="12" t="s">
        <v>112</v>
      </c>
      <c r="D13" s="12" t="s">
        <v>121</v>
      </c>
      <c r="E13" s="15">
        <v>35611</v>
      </c>
      <c r="F13" s="13">
        <v>45092</v>
      </c>
      <c r="G13" s="12" t="str">
        <f t="shared" si="0"/>
        <v>June</v>
      </c>
      <c r="H13" s="16">
        <f t="shared" si="1"/>
        <v>0.1</v>
      </c>
      <c r="I13" s="15">
        <f t="shared" si="2"/>
        <v>3561.1</v>
      </c>
    </row>
    <row r="14" spans="1:9">
      <c r="A14" s="12">
        <v>2013</v>
      </c>
      <c r="B14" s="12" t="s">
        <v>122</v>
      </c>
      <c r="C14" s="12" t="s">
        <v>110</v>
      </c>
      <c r="D14" s="12" t="s">
        <v>123</v>
      </c>
      <c r="E14" s="15">
        <v>15560</v>
      </c>
      <c r="F14" s="13">
        <v>45107</v>
      </c>
      <c r="G14" s="12" t="str">
        <f t="shared" si="0"/>
        <v>June</v>
      </c>
      <c r="H14" s="16">
        <f t="shared" si="1"/>
        <v>0.05</v>
      </c>
      <c r="I14" s="15">
        <f t="shared" si="2"/>
        <v>778</v>
      </c>
    </row>
    <row r="15" spans="1:9">
      <c r="A15" s="12">
        <v>2014</v>
      </c>
      <c r="B15" s="12" t="s">
        <v>122</v>
      </c>
      <c r="C15" s="12" t="s">
        <v>103</v>
      </c>
      <c r="D15" s="12" t="s">
        <v>124</v>
      </c>
      <c r="E15" s="15">
        <v>7283</v>
      </c>
      <c r="F15" s="13">
        <v>45122</v>
      </c>
      <c r="G15" s="12" t="str">
        <f t="shared" si="0"/>
        <v>July</v>
      </c>
      <c r="H15" s="16">
        <f t="shared" si="1"/>
        <v>0.05</v>
      </c>
      <c r="I15" s="15">
        <f t="shared" si="2"/>
        <v>364.15</v>
      </c>
    </row>
    <row r="16" spans="1:9">
      <c r="A16" s="12">
        <v>2015</v>
      </c>
      <c r="B16" s="12" t="s">
        <v>122</v>
      </c>
      <c r="C16" s="12" t="s">
        <v>110</v>
      </c>
      <c r="D16" s="12" t="s">
        <v>125</v>
      </c>
      <c r="E16" s="15">
        <v>15678</v>
      </c>
      <c r="F16" s="13">
        <v>45137</v>
      </c>
      <c r="G16" s="12" t="str">
        <f t="shared" si="0"/>
        <v>July</v>
      </c>
      <c r="H16" s="16">
        <f t="shared" si="1"/>
        <v>0.05</v>
      </c>
      <c r="I16" s="15">
        <f t="shared" si="2"/>
        <v>783.9</v>
      </c>
    </row>
    <row r="17" spans="1:9">
      <c r="A17" s="12">
        <v>2016</v>
      </c>
      <c r="B17" s="12" t="s">
        <v>108</v>
      </c>
      <c r="C17" s="12" t="s">
        <v>110</v>
      </c>
      <c r="D17" s="12" t="s">
        <v>126</v>
      </c>
      <c r="E17" s="15">
        <v>5277</v>
      </c>
      <c r="F17" s="13">
        <v>45152</v>
      </c>
      <c r="G17" s="12" t="str">
        <f t="shared" si="0"/>
        <v>August</v>
      </c>
      <c r="H17" s="16">
        <f t="shared" si="1"/>
        <v>0.05</v>
      </c>
      <c r="I17" s="15">
        <f t="shared" si="2"/>
        <v>263.85</v>
      </c>
    </row>
    <row r="18" spans="1:9">
      <c r="A18" s="12">
        <v>2017</v>
      </c>
      <c r="B18" s="12" t="s">
        <v>120</v>
      </c>
      <c r="C18" s="12" t="s">
        <v>112</v>
      </c>
      <c r="D18" s="12" t="s">
        <v>127</v>
      </c>
      <c r="E18" s="15">
        <v>41871</v>
      </c>
      <c r="F18" s="13">
        <v>45167</v>
      </c>
      <c r="G18" s="12" t="str">
        <f t="shared" si="0"/>
        <v>August</v>
      </c>
      <c r="H18" s="16">
        <f t="shared" si="1"/>
        <v>0.2</v>
      </c>
      <c r="I18" s="15">
        <f t="shared" si="2"/>
        <v>8374.2</v>
      </c>
    </row>
    <row r="19" spans="1:9">
      <c r="A19" s="12">
        <v>2018</v>
      </c>
      <c r="B19" s="12" t="s">
        <v>120</v>
      </c>
      <c r="C19" s="12" t="s">
        <v>106</v>
      </c>
      <c r="D19" s="12" t="s">
        <v>128</v>
      </c>
      <c r="E19" s="15">
        <v>38161</v>
      </c>
      <c r="F19" s="13">
        <v>45182</v>
      </c>
      <c r="G19" s="12" t="str">
        <f t="shared" si="0"/>
        <v>September</v>
      </c>
      <c r="H19" s="16">
        <f t="shared" si="1"/>
        <v>0.1</v>
      </c>
      <c r="I19" s="15">
        <f t="shared" si="2"/>
        <v>3816.1</v>
      </c>
    </row>
    <row r="20" spans="1:9">
      <c r="A20" s="12">
        <v>2019</v>
      </c>
      <c r="B20" s="12" t="s">
        <v>108</v>
      </c>
      <c r="C20" s="12" t="s">
        <v>106</v>
      </c>
      <c r="D20" s="12" t="s">
        <v>129</v>
      </c>
      <c r="E20" s="15">
        <v>30436</v>
      </c>
      <c r="F20" s="13">
        <v>45197</v>
      </c>
      <c r="G20" s="12" t="str">
        <f t="shared" si="0"/>
        <v>September</v>
      </c>
      <c r="H20" s="16">
        <f t="shared" si="1"/>
        <v>0.1</v>
      </c>
      <c r="I20" s="15">
        <f t="shared" si="2"/>
        <v>3043.6</v>
      </c>
    </row>
    <row r="21" spans="1:9">
      <c r="A21" s="12">
        <v>2020</v>
      </c>
      <c r="B21" s="12" t="s">
        <v>105</v>
      </c>
      <c r="C21" s="12" t="s">
        <v>106</v>
      </c>
      <c r="D21" s="12" t="s">
        <v>130</v>
      </c>
      <c r="E21" s="15">
        <v>33953</v>
      </c>
      <c r="F21" s="13">
        <v>45212</v>
      </c>
      <c r="G21" s="12" t="str">
        <f t="shared" si="0"/>
        <v>October</v>
      </c>
      <c r="H21" s="16">
        <f t="shared" si="1"/>
        <v>0.1</v>
      </c>
      <c r="I21" s="15">
        <f t="shared" si="2"/>
        <v>3395.3</v>
      </c>
    </row>
  </sheetData>
  <pageMargins left="0.75" right="0.75" top="1" bottom="1" header="0.5" footer="0.5"/>
  <pageSetup paperSize="1" fitToHeight="0" orientation="landscape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2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5"/>
  <cols>
    <col min="1" max="2" width="12" customWidth="1"/>
    <col min="3" max="5" width="10" customWidth="1"/>
    <col min="6" max="6" width="21" customWidth="1"/>
    <col min="7" max="7" width="19" customWidth="1"/>
    <col min="8" max="10" width="28" customWidth="1"/>
  </cols>
  <sheetData>
    <row r="1" spans="1:10">
      <c r="A1" s="2" t="s">
        <v>131</v>
      </c>
      <c r="B1" s="2" t="s">
        <v>60</v>
      </c>
      <c r="C1" s="2" t="s">
        <v>132</v>
      </c>
      <c r="D1" s="2" t="s">
        <v>133</v>
      </c>
      <c r="E1" s="2" t="s">
        <v>134</v>
      </c>
      <c r="F1" s="2" t="s">
        <v>135</v>
      </c>
      <c r="G1" s="2" t="s">
        <v>136</v>
      </c>
      <c r="H1" s="2" t="s">
        <v>137</v>
      </c>
      <c r="I1" s="2" t="s">
        <v>138</v>
      </c>
      <c r="J1" s="2" t="s">
        <v>139</v>
      </c>
    </row>
    <row r="2" spans="1:10">
      <c r="A2" s="12">
        <v>1001</v>
      </c>
      <c r="B2" s="12" t="s">
        <v>140</v>
      </c>
      <c r="C2" s="12">
        <v>61</v>
      </c>
      <c r="D2" s="12">
        <v>48</v>
      </c>
      <c r="E2" s="12">
        <v>76</v>
      </c>
      <c r="F2" s="13">
        <v>43101</v>
      </c>
      <c r="G2" s="14">
        <f t="shared" ref="G2:G21" si="0">AVERAGE(C2:E2)</f>
        <v>61.6666666666667</v>
      </c>
      <c r="H2" s="12" t="str">
        <f t="shared" ref="H2:H21" si="1">IF(G2&gt;=90,"A",IF(G2&gt;=75,"B",IF(G2&gt;=60,"C","F")))</f>
        <v>C</v>
      </c>
      <c r="I2" s="12" t="str">
        <f t="shared" ref="I2:I21" si="2">IF(AND(C2&gt;80,D2&gt;80),"Yes","No")</f>
        <v>No</v>
      </c>
      <c r="J2" s="12" t="str">
        <f t="shared" ref="J2:J21" si="3">IF(AND(C2&gt;60,D2&gt;60,E2&gt;60),"Yes","No")</f>
        <v>No</v>
      </c>
    </row>
    <row r="3" spans="1:10">
      <c r="A3" s="12">
        <v>1002</v>
      </c>
      <c r="B3" s="12" t="s">
        <v>141</v>
      </c>
      <c r="C3" s="12">
        <v>78</v>
      </c>
      <c r="D3" s="12">
        <v>76</v>
      </c>
      <c r="E3" s="12">
        <v>70</v>
      </c>
      <c r="F3" s="13">
        <v>43281</v>
      </c>
      <c r="G3" s="14">
        <f t="shared" si="0"/>
        <v>74.6666666666667</v>
      </c>
      <c r="H3" s="12" t="str">
        <f t="shared" si="1"/>
        <v>C</v>
      </c>
      <c r="I3" s="12" t="str">
        <f t="shared" si="2"/>
        <v>No</v>
      </c>
      <c r="J3" s="12" t="str">
        <f t="shared" si="3"/>
        <v>Yes</v>
      </c>
    </row>
    <row r="4" spans="1:10">
      <c r="A4" s="12">
        <v>1003</v>
      </c>
      <c r="B4" s="12" t="s">
        <v>142</v>
      </c>
      <c r="C4" s="12">
        <v>97</v>
      </c>
      <c r="D4" s="12">
        <v>60</v>
      </c>
      <c r="E4" s="12">
        <v>51</v>
      </c>
      <c r="F4" s="13">
        <v>43461</v>
      </c>
      <c r="G4" s="14">
        <f t="shared" si="0"/>
        <v>69.3333333333333</v>
      </c>
      <c r="H4" s="12" t="str">
        <f t="shared" si="1"/>
        <v>C</v>
      </c>
      <c r="I4" s="12" t="str">
        <f t="shared" si="2"/>
        <v>No</v>
      </c>
      <c r="J4" s="12" t="str">
        <f t="shared" si="3"/>
        <v>No</v>
      </c>
    </row>
    <row r="5" spans="1:10">
      <c r="A5" s="12">
        <v>1004</v>
      </c>
      <c r="B5" s="12" t="s">
        <v>143</v>
      </c>
      <c r="C5" s="12">
        <v>74</v>
      </c>
      <c r="D5" s="12">
        <v>55</v>
      </c>
      <c r="E5" s="12">
        <v>46</v>
      </c>
      <c r="F5" s="13">
        <v>43641</v>
      </c>
      <c r="G5" s="14">
        <f t="shared" si="0"/>
        <v>58.3333333333333</v>
      </c>
      <c r="H5" s="12" t="str">
        <f t="shared" si="1"/>
        <v>F</v>
      </c>
      <c r="I5" s="12" t="str">
        <f t="shared" si="2"/>
        <v>No</v>
      </c>
      <c r="J5" s="12" t="str">
        <f t="shared" si="3"/>
        <v>No</v>
      </c>
    </row>
    <row r="6" spans="1:10">
      <c r="A6" s="12">
        <v>1005</v>
      </c>
      <c r="B6" s="12" t="s">
        <v>144</v>
      </c>
      <c r="C6" s="12">
        <v>68</v>
      </c>
      <c r="D6" s="12">
        <v>74</v>
      </c>
      <c r="E6" s="12">
        <v>84</v>
      </c>
      <c r="F6" s="13">
        <v>43821</v>
      </c>
      <c r="G6" s="14">
        <f t="shared" si="0"/>
        <v>75.3333333333333</v>
      </c>
      <c r="H6" s="12" t="str">
        <f t="shared" si="1"/>
        <v>B</v>
      </c>
      <c r="I6" s="12" t="str">
        <f t="shared" si="2"/>
        <v>No</v>
      </c>
      <c r="J6" s="12" t="str">
        <f t="shared" si="3"/>
        <v>Yes</v>
      </c>
    </row>
    <row r="7" spans="1:10">
      <c r="A7" s="12">
        <v>1006</v>
      </c>
      <c r="B7" s="12" t="s">
        <v>145</v>
      </c>
      <c r="C7" s="12">
        <v>80</v>
      </c>
      <c r="D7" s="12">
        <v>70</v>
      </c>
      <c r="E7" s="12">
        <v>65</v>
      </c>
      <c r="F7" s="13">
        <v>44001</v>
      </c>
      <c r="G7" s="14">
        <f t="shared" si="0"/>
        <v>71.6666666666667</v>
      </c>
      <c r="H7" s="12" t="str">
        <f t="shared" si="1"/>
        <v>C</v>
      </c>
      <c r="I7" s="12" t="str">
        <f t="shared" si="2"/>
        <v>No</v>
      </c>
      <c r="J7" s="12" t="str">
        <f t="shared" si="3"/>
        <v>Yes</v>
      </c>
    </row>
    <row r="8" spans="1:10">
      <c r="A8" s="12">
        <v>1007</v>
      </c>
      <c r="B8" s="12" t="s">
        <v>146</v>
      </c>
      <c r="C8" s="12">
        <v>75</v>
      </c>
      <c r="D8" s="12">
        <v>47</v>
      </c>
      <c r="E8" s="12">
        <v>78</v>
      </c>
      <c r="F8" s="13">
        <v>44181</v>
      </c>
      <c r="G8" s="14">
        <f t="shared" si="0"/>
        <v>66.6666666666667</v>
      </c>
      <c r="H8" s="12" t="str">
        <f t="shared" si="1"/>
        <v>C</v>
      </c>
      <c r="I8" s="12" t="str">
        <f t="shared" si="2"/>
        <v>No</v>
      </c>
      <c r="J8" s="12" t="str">
        <f t="shared" si="3"/>
        <v>No</v>
      </c>
    </row>
    <row r="9" spans="1:10">
      <c r="A9" s="12">
        <v>1008</v>
      </c>
      <c r="B9" s="12" t="s">
        <v>147</v>
      </c>
      <c r="C9" s="12">
        <v>94</v>
      </c>
      <c r="D9" s="12">
        <v>67</v>
      </c>
      <c r="E9" s="12">
        <v>64</v>
      </c>
      <c r="F9" s="13">
        <v>44361</v>
      </c>
      <c r="G9" s="14">
        <f t="shared" si="0"/>
        <v>75</v>
      </c>
      <c r="H9" s="12" t="str">
        <f t="shared" si="1"/>
        <v>B</v>
      </c>
      <c r="I9" s="12" t="str">
        <f t="shared" si="2"/>
        <v>No</v>
      </c>
      <c r="J9" s="12" t="str">
        <f t="shared" si="3"/>
        <v>Yes</v>
      </c>
    </row>
    <row r="10" spans="1:10">
      <c r="A10" s="12">
        <v>1009</v>
      </c>
      <c r="B10" s="12" t="s">
        <v>148</v>
      </c>
      <c r="C10" s="12">
        <v>41</v>
      </c>
      <c r="D10" s="12">
        <v>75</v>
      </c>
      <c r="E10" s="12">
        <v>56</v>
      </c>
      <c r="F10" s="13">
        <v>44541</v>
      </c>
      <c r="G10" s="14">
        <f t="shared" si="0"/>
        <v>57.3333333333333</v>
      </c>
      <c r="H10" s="12" t="str">
        <f t="shared" si="1"/>
        <v>F</v>
      </c>
      <c r="I10" s="12" t="str">
        <f t="shared" si="2"/>
        <v>No</v>
      </c>
      <c r="J10" s="12" t="str">
        <f t="shared" si="3"/>
        <v>No</v>
      </c>
    </row>
    <row r="11" spans="1:10">
      <c r="A11" s="12">
        <v>1010</v>
      </c>
      <c r="B11" s="12" t="s">
        <v>149</v>
      </c>
      <c r="C11" s="12">
        <v>98</v>
      </c>
      <c r="D11" s="12">
        <v>54</v>
      </c>
      <c r="E11" s="12">
        <v>58</v>
      </c>
      <c r="F11" s="13">
        <v>44721</v>
      </c>
      <c r="G11" s="14">
        <f t="shared" si="0"/>
        <v>70</v>
      </c>
      <c r="H11" s="12" t="str">
        <f t="shared" si="1"/>
        <v>C</v>
      </c>
      <c r="I11" s="12" t="str">
        <f t="shared" si="2"/>
        <v>No</v>
      </c>
      <c r="J11" s="12" t="str">
        <f t="shared" si="3"/>
        <v>No</v>
      </c>
    </row>
    <row r="12" spans="1:10">
      <c r="A12" s="12">
        <v>1011</v>
      </c>
      <c r="B12" s="12" t="s">
        <v>150</v>
      </c>
      <c r="C12" s="12">
        <v>73</v>
      </c>
      <c r="D12" s="12">
        <v>79</v>
      </c>
      <c r="E12" s="12">
        <v>53</v>
      </c>
      <c r="F12" s="13">
        <v>44901</v>
      </c>
      <c r="G12" s="14">
        <f t="shared" si="0"/>
        <v>68.3333333333333</v>
      </c>
      <c r="H12" s="12" t="str">
        <f t="shared" si="1"/>
        <v>C</v>
      </c>
      <c r="I12" s="12" t="str">
        <f t="shared" si="2"/>
        <v>No</v>
      </c>
      <c r="J12" s="12" t="str">
        <f t="shared" si="3"/>
        <v>No</v>
      </c>
    </row>
    <row r="13" spans="1:10">
      <c r="A13" s="12">
        <v>1012</v>
      </c>
      <c r="B13" s="12" t="s">
        <v>151</v>
      </c>
      <c r="C13" s="12">
        <v>85</v>
      </c>
      <c r="D13" s="12">
        <v>89</v>
      </c>
      <c r="E13" s="12">
        <v>79</v>
      </c>
      <c r="F13" s="13">
        <v>45081</v>
      </c>
      <c r="G13" s="14">
        <f t="shared" si="0"/>
        <v>84.3333333333333</v>
      </c>
      <c r="H13" s="12" t="str">
        <f t="shared" si="1"/>
        <v>B</v>
      </c>
      <c r="I13" s="12" t="str">
        <f t="shared" si="2"/>
        <v>Yes</v>
      </c>
      <c r="J13" s="12" t="str">
        <f t="shared" si="3"/>
        <v>Yes</v>
      </c>
    </row>
    <row r="14" spans="1:10">
      <c r="A14" s="12">
        <v>1013</v>
      </c>
      <c r="B14" s="12" t="s">
        <v>152</v>
      </c>
      <c r="C14" s="12">
        <v>98</v>
      </c>
      <c r="D14" s="12">
        <v>90</v>
      </c>
      <c r="E14" s="12">
        <v>97</v>
      </c>
      <c r="F14" s="13">
        <v>45261</v>
      </c>
      <c r="G14" s="14">
        <f t="shared" si="0"/>
        <v>95</v>
      </c>
      <c r="H14" s="12" t="str">
        <f t="shared" si="1"/>
        <v>A</v>
      </c>
      <c r="I14" s="12" t="str">
        <f t="shared" si="2"/>
        <v>Yes</v>
      </c>
      <c r="J14" s="12" t="str">
        <f t="shared" si="3"/>
        <v>Yes</v>
      </c>
    </row>
    <row r="15" spans="1:10">
      <c r="A15" s="12">
        <v>1014</v>
      </c>
      <c r="B15" s="12" t="s">
        <v>153</v>
      </c>
      <c r="C15" s="12">
        <v>93</v>
      </c>
      <c r="D15" s="12">
        <v>40</v>
      </c>
      <c r="E15" s="12">
        <v>44</v>
      </c>
      <c r="F15" s="13">
        <v>45441</v>
      </c>
      <c r="G15" s="14">
        <f t="shared" si="0"/>
        <v>59</v>
      </c>
      <c r="H15" s="12" t="str">
        <f t="shared" si="1"/>
        <v>F</v>
      </c>
      <c r="I15" s="12" t="str">
        <f t="shared" si="2"/>
        <v>No</v>
      </c>
      <c r="J15" s="12" t="str">
        <f t="shared" si="3"/>
        <v>No</v>
      </c>
    </row>
    <row r="16" spans="1:10">
      <c r="A16" s="12">
        <v>1015</v>
      </c>
      <c r="B16" s="12" t="s">
        <v>154</v>
      </c>
      <c r="C16" s="12">
        <v>70</v>
      </c>
      <c r="D16" s="12">
        <v>51</v>
      </c>
      <c r="E16" s="12">
        <v>75</v>
      </c>
      <c r="F16" s="13">
        <v>45621</v>
      </c>
      <c r="G16" s="14">
        <f t="shared" si="0"/>
        <v>65.3333333333333</v>
      </c>
      <c r="H16" s="12" t="str">
        <f t="shared" si="1"/>
        <v>C</v>
      </c>
      <c r="I16" s="12" t="str">
        <f t="shared" si="2"/>
        <v>No</v>
      </c>
      <c r="J16" s="12" t="str">
        <f t="shared" si="3"/>
        <v>No</v>
      </c>
    </row>
    <row r="17" spans="1:10">
      <c r="A17" s="12">
        <v>1016</v>
      </c>
      <c r="B17" s="12" t="s">
        <v>155</v>
      </c>
      <c r="C17" s="12">
        <v>98</v>
      </c>
      <c r="D17" s="12">
        <v>77</v>
      </c>
      <c r="E17" s="12">
        <v>60</v>
      </c>
      <c r="F17" s="13">
        <v>45801</v>
      </c>
      <c r="G17" s="14">
        <f t="shared" si="0"/>
        <v>78.3333333333333</v>
      </c>
      <c r="H17" s="12" t="str">
        <f t="shared" si="1"/>
        <v>B</v>
      </c>
      <c r="I17" s="12" t="str">
        <f t="shared" si="2"/>
        <v>No</v>
      </c>
      <c r="J17" s="12" t="str">
        <f t="shared" si="3"/>
        <v>No</v>
      </c>
    </row>
    <row r="18" spans="1:10">
      <c r="A18" s="12">
        <v>1017</v>
      </c>
      <c r="B18" s="12" t="s">
        <v>156</v>
      </c>
      <c r="C18" s="12">
        <v>66</v>
      </c>
      <c r="D18" s="12">
        <v>59</v>
      </c>
      <c r="E18" s="12">
        <v>40</v>
      </c>
      <c r="F18" s="13">
        <v>45981</v>
      </c>
      <c r="G18" s="14">
        <f t="shared" si="0"/>
        <v>55</v>
      </c>
      <c r="H18" s="12" t="str">
        <f t="shared" si="1"/>
        <v>F</v>
      </c>
      <c r="I18" s="12" t="str">
        <f t="shared" si="2"/>
        <v>No</v>
      </c>
      <c r="J18" s="12" t="str">
        <f t="shared" si="3"/>
        <v>No</v>
      </c>
    </row>
    <row r="19" spans="1:10">
      <c r="A19" s="12">
        <v>1018</v>
      </c>
      <c r="B19" s="12" t="s">
        <v>157</v>
      </c>
      <c r="C19" s="12">
        <v>82</v>
      </c>
      <c r="D19" s="12">
        <v>48</v>
      </c>
      <c r="E19" s="12">
        <v>79</v>
      </c>
      <c r="F19" s="13">
        <v>46161</v>
      </c>
      <c r="G19" s="14">
        <f t="shared" si="0"/>
        <v>69.6666666666667</v>
      </c>
      <c r="H19" s="12" t="str">
        <f t="shared" si="1"/>
        <v>C</v>
      </c>
      <c r="I19" s="12" t="str">
        <f t="shared" si="2"/>
        <v>No</v>
      </c>
      <c r="J19" s="12" t="str">
        <f t="shared" si="3"/>
        <v>No</v>
      </c>
    </row>
    <row r="20" spans="1:10">
      <c r="A20" s="12">
        <v>1019</v>
      </c>
      <c r="B20" s="12" t="s">
        <v>158</v>
      </c>
      <c r="C20" s="12">
        <v>90</v>
      </c>
      <c r="D20" s="12">
        <v>78</v>
      </c>
      <c r="E20" s="12">
        <v>60</v>
      </c>
      <c r="F20" s="13">
        <v>46341</v>
      </c>
      <c r="G20" s="14">
        <f t="shared" si="0"/>
        <v>76</v>
      </c>
      <c r="H20" s="12" t="str">
        <f t="shared" si="1"/>
        <v>B</v>
      </c>
      <c r="I20" s="12" t="str">
        <f t="shared" si="2"/>
        <v>No</v>
      </c>
      <c r="J20" s="12" t="str">
        <f t="shared" si="3"/>
        <v>No</v>
      </c>
    </row>
    <row r="21" spans="1:10">
      <c r="A21" s="12">
        <v>1020</v>
      </c>
      <c r="B21" s="12" t="s">
        <v>159</v>
      </c>
      <c r="C21" s="12">
        <v>83</v>
      </c>
      <c r="D21" s="12">
        <v>92</v>
      </c>
      <c r="E21" s="12">
        <v>55</v>
      </c>
      <c r="F21" s="13">
        <v>46521</v>
      </c>
      <c r="G21" s="14">
        <f t="shared" si="0"/>
        <v>76.6666666666667</v>
      </c>
      <c r="H21" s="12" t="str">
        <f t="shared" si="1"/>
        <v>B</v>
      </c>
      <c r="I21" s="12" t="str">
        <f t="shared" si="2"/>
        <v>Yes</v>
      </c>
      <c r="J21" s="12" t="str">
        <f t="shared" si="3"/>
        <v>No</v>
      </c>
    </row>
  </sheetData>
  <conditionalFormatting sqref="G2:G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pageSetup paperSize="1" fitToHeight="0" orientation="landscape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45"/>
  <sheetViews>
    <sheetView workbookViewId="0">
      <pane ySplit="3" topLeftCell="A6" activePane="bottomLeft" state="frozen"/>
      <selection/>
      <selection pane="bottomLeft" activeCell="A1" sqref="A1:E1"/>
    </sheetView>
  </sheetViews>
  <sheetFormatPr defaultColWidth="9" defaultRowHeight="14.5" outlineLevelCol="4"/>
  <cols>
    <col min="1" max="1" width="7" customWidth="1"/>
    <col min="2" max="2" width="38" customWidth="1"/>
    <col min="3" max="3" width="68" customWidth="1"/>
    <col min="4" max="4" width="35" customWidth="1"/>
    <col min="5" max="5" width="28" customWidth="1"/>
  </cols>
  <sheetData>
    <row r="1" ht="28" customHeight="1" spans="1:5">
      <c r="A1" s="1" t="s">
        <v>160</v>
      </c>
    </row>
    <row r="3" spans="1:5">
      <c r="A3" s="2" t="s">
        <v>161</v>
      </c>
      <c r="B3" s="2" t="s">
        <v>162</v>
      </c>
      <c r="C3" s="2" t="s">
        <v>163</v>
      </c>
      <c r="D3" s="2" t="s">
        <v>164</v>
      </c>
      <c r="E3" s="2" t="s">
        <v>165</v>
      </c>
    </row>
    <row r="4" ht="34" customHeight="1" spans="1:5">
      <c r="A4" s="3">
        <v>1</v>
      </c>
      <c r="B4" s="4" t="s">
        <v>166</v>
      </c>
      <c r="C4" s="5">
        <f>AVERAGE(Students!C2:E2)</f>
        <v>61.6666666666667</v>
      </c>
      <c r="D4" s="6" t="s">
        <v>167</v>
      </c>
      <c r="E4" s="4" t="s">
        <v>168</v>
      </c>
    </row>
    <row r="5" ht="34" customHeight="1" spans="1:5">
      <c r="A5" s="3">
        <v>2</v>
      </c>
      <c r="B5" s="4" t="s">
        <v>169</v>
      </c>
      <c r="C5" s="5" t="str">
        <f>IF(Students!G2&gt;=90,"A",IF(Students!G2&gt;=75,"B",IF(Students!G2&gt;=60,"C","F")))</f>
        <v>C</v>
      </c>
      <c r="D5" s="6" t="s">
        <v>170</v>
      </c>
      <c r="E5" s="4" t="s">
        <v>171</v>
      </c>
    </row>
    <row r="6" ht="34" customHeight="1" spans="1:5">
      <c r="A6" s="3">
        <v>3</v>
      </c>
      <c r="B6" s="4" t="s">
        <v>172</v>
      </c>
      <c r="C6" s="5">
        <f>COUNTIFS(Students!C2:C21,"&gt;60")</f>
        <v>19</v>
      </c>
      <c r="D6" s="6">
        <v>19</v>
      </c>
      <c r="E6" s="4" t="s">
        <v>173</v>
      </c>
    </row>
    <row r="7" ht="34" customHeight="1" spans="1:5">
      <c r="A7" s="3">
        <v>4</v>
      </c>
      <c r="B7" s="4" t="s">
        <v>174</v>
      </c>
      <c r="C7" s="5">
        <f>VLOOKUP(2008,'Sales Data'!A2:F21,5,FALSE)</f>
        <v>46429</v>
      </c>
      <c r="D7" s="6">
        <v>46429</v>
      </c>
      <c r="E7" s="4" t="s">
        <v>173</v>
      </c>
    </row>
    <row r="8" ht="34" customHeight="1" spans="1:5">
      <c r="A8" s="3">
        <v>5</v>
      </c>
      <c r="B8" s="4" t="s">
        <v>175</v>
      </c>
      <c r="C8" s="5">
        <f>_xlfn.XLOOKUP(3018,'Employee Data'!A2:A21,'Employee Data'!D2:D21,"Not Found")</f>
        <v>116284</v>
      </c>
      <c r="D8" s="6">
        <v>116284</v>
      </c>
      <c r="E8" s="4" t="s">
        <v>173</v>
      </c>
    </row>
    <row r="9" ht="34" customHeight="1" spans="1:5">
      <c r="A9" s="3">
        <v>6</v>
      </c>
      <c r="B9" s="4" t="s">
        <v>176</v>
      </c>
      <c r="C9" s="5">
        <f>_xlfn._xlws.FILTER(Students!A2:H21,Students!G2:G21&gt;80,"No students found")</f>
        <v>1012</v>
      </c>
      <c r="D9" s="6" t="s">
        <v>177</v>
      </c>
      <c r="E9" s="4" t="s">
        <v>178</v>
      </c>
    </row>
    <row r="10" ht="34" customHeight="1" spans="1:5">
      <c r="A10" s="3">
        <v>7</v>
      </c>
      <c r="B10" s="4" t="s">
        <v>179</v>
      </c>
      <c r="C10" s="5">
        <f>'Employee Data'!D2*(1+'Employee Data'!$J$2)</f>
        <v>95442.6</v>
      </c>
      <c r="D10" s="6" t="s">
        <v>180</v>
      </c>
      <c r="E10" s="4" t="s">
        <v>181</v>
      </c>
    </row>
    <row r="11" ht="34" customHeight="1" spans="1:5">
      <c r="A11" s="3">
        <v>8</v>
      </c>
      <c r="B11" s="4" t="s">
        <v>182</v>
      </c>
      <c r="C11" s="5" t="str">
        <f>IF(AND(Students!C2&gt;80,Students!D2&gt;80),"Yes","No")</f>
        <v>No</v>
      </c>
      <c r="D11" s="6" t="s">
        <v>183</v>
      </c>
      <c r="E11" s="4" t="s">
        <v>184</v>
      </c>
    </row>
    <row r="12" ht="34" customHeight="1" spans="1:5">
      <c r="A12" s="3">
        <v>9</v>
      </c>
      <c r="B12" s="4" t="s">
        <v>185</v>
      </c>
      <c r="C12" s="5" t="str">
        <f>IF(OR('Sales Data'!E2&gt;=40000,'Sales Data'!B2="Laptop"),"Eligible","Not Eligible")</f>
        <v>Not Eligible</v>
      </c>
      <c r="D12" s="6" t="s">
        <v>186</v>
      </c>
      <c r="E12" s="4" t="s">
        <v>187</v>
      </c>
    </row>
    <row r="13" ht="34" customHeight="1" spans="1:5">
      <c r="A13" s="3">
        <v>10</v>
      </c>
      <c r="B13" s="4" t="s">
        <v>188</v>
      </c>
      <c r="C13" s="5">
        <f>COUNTIFS(Students!C2:C21,"&gt;50")</f>
        <v>19</v>
      </c>
      <c r="D13" s="6">
        <v>19</v>
      </c>
      <c r="E13" s="4" t="s">
        <v>173</v>
      </c>
    </row>
    <row r="14" ht="34" customHeight="1" spans="1:5">
      <c r="A14" s="3">
        <v>11</v>
      </c>
      <c r="B14" s="4" t="s">
        <v>189</v>
      </c>
      <c r="C14" s="5">
        <f>SUMIFS('Sales Data'!E2:E21,'Sales Data'!C2:C21,"South",'Sales Data'!B2:B21,"Keyboard")</f>
        <v>42233</v>
      </c>
      <c r="D14" s="6">
        <v>42233</v>
      </c>
      <c r="E14" s="4" t="s">
        <v>173</v>
      </c>
    </row>
    <row r="15" ht="34" customHeight="1" spans="1:5">
      <c r="A15" s="3">
        <v>12</v>
      </c>
      <c r="B15" s="4" t="s">
        <v>190</v>
      </c>
      <c r="C15" s="5">
        <f>AVERAGEIFS(Students!G2:G21,Students!G2:G21,"&gt;60")</f>
        <v>73.625</v>
      </c>
      <c r="D15" s="6">
        <v>73.625</v>
      </c>
      <c r="E15" s="4" t="s">
        <v>173</v>
      </c>
    </row>
    <row r="16" ht="34" customHeight="1" spans="1:5">
      <c r="A16" s="3">
        <v>13</v>
      </c>
      <c r="B16" s="4" t="s">
        <v>191</v>
      </c>
      <c r="C16" s="5" t="str">
        <f>VLOOKUP(1008,Students!A2:F21,2,FALSE)</f>
        <v>Student 8</v>
      </c>
      <c r="D16" s="6" t="s">
        <v>147</v>
      </c>
      <c r="E16" s="4" t="s">
        <v>173</v>
      </c>
    </row>
    <row r="17" ht="34" customHeight="1" spans="1:5">
      <c r="A17" s="3">
        <v>14</v>
      </c>
      <c r="B17" s="4" t="s">
        <v>192</v>
      </c>
      <c r="C17" s="5">
        <f>INDEX('Employee Data'!D2:D21,MATCH(3016,'Employee Data'!A2:A21,0))</f>
        <v>114173</v>
      </c>
      <c r="D17" s="6">
        <v>114173</v>
      </c>
      <c r="E17" s="4" t="s">
        <v>173</v>
      </c>
    </row>
    <row r="18" ht="34" customHeight="1" spans="1:5">
      <c r="A18" s="3">
        <v>15</v>
      </c>
      <c r="B18" s="4" t="s">
        <v>193</v>
      </c>
      <c r="C18" s="5" t="e">
        <f>INDEX('Sales Data'!E2:E21,MATCH(1,('Sales Data'!D2:D21="Person 10")*('Sales Data'!G2:G21="May"),0))</f>
        <v>#N/A</v>
      </c>
      <c r="D18" s="6">
        <v>35185</v>
      </c>
      <c r="E18" s="4" t="s">
        <v>194</v>
      </c>
    </row>
    <row r="19" ht="34" customHeight="1" spans="1:5">
      <c r="A19" s="3">
        <v>16</v>
      </c>
      <c r="B19" s="4" t="s">
        <v>195</v>
      </c>
      <c r="C19" s="5" t="str">
        <f>LEFT('Employee Data'!B2,FIND(" ",'Employee Data'!B2)-1)</f>
        <v>Employee</v>
      </c>
      <c r="D19" s="6" t="s">
        <v>196</v>
      </c>
      <c r="E19" s="4" t="s">
        <v>197</v>
      </c>
    </row>
    <row r="20" ht="34" customHeight="1" spans="1:5">
      <c r="A20" s="3">
        <v>17</v>
      </c>
      <c r="B20" s="4" t="s">
        <v>198</v>
      </c>
      <c r="C20" s="5" t="str">
        <f>UPPER('Employee Data'!B2)</f>
        <v>EMPLOYEE 1</v>
      </c>
      <c r="D20" s="6" t="s">
        <v>199</v>
      </c>
      <c r="E20" s="4" t="s">
        <v>173</v>
      </c>
    </row>
    <row r="21" ht="34" customHeight="1" spans="1:5">
      <c r="A21" s="3">
        <v>18</v>
      </c>
      <c r="B21" s="4" t="s">
        <v>200</v>
      </c>
      <c r="C21" s="5" t="str">
        <f>LOWER('Employee Data'!B2)</f>
        <v>employee 1</v>
      </c>
      <c r="D21" s="6" t="s">
        <v>201</v>
      </c>
      <c r="E21" s="4" t="s">
        <v>173</v>
      </c>
    </row>
    <row r="22" ht="34" customHeight="1" spans="1:5">
      <c r="A22" s="3">
        <v>19</v>
      </c>
      <c r="B22" s="4" t="s">
        <v>202</v>
      </c>
      <c r="C22" s="5">
        <f>_xlfn.XLOOKUP(3016,'Employee Data'!A2:A21,'Employee Data'!D2:D21,"Not Found")</f>
        <v>114173</v>
      </c>
      <c r="D22" s="6">
        <v>114173</v>
      </c>
      <c r="E22" s="4" t="s">
        <v>173</v>
      </c>
    </row>
    <row r="23" ht="34" customHeight="1" spans="1:5">
      <c r="A23" s="3">
        <v>20</v>
      </c>
      <c r="B23" s="4" t="s">
        <v>203</v>
      </c>
      <c r="C23" s="5">
        <f>_xlfn.XMATCH("Laptop",'Sales Data'!B2:B21,0)</f>
        <v>13</v>
      </c>
      <c r="D23" s="6">
        <v>13</v>
      </c>
      <c r="E23" s="4" t="s">
        <v>204</v>
      </c>
    </row>
    <row r="24" ht="34" customHeight="1" spans="1:5">
      <c r="A24" s="3">
        <v>21</v>
      </c>
      <c r="B24" s="4" t="s">
        <v>205</v>
      </c>
      <c r="C24" s="5">
        <f ca="1">INDIRECT("'Employee Data'!"&amp;"D5")</f>
        <v>109972</v>
      </c>
      <c r="D24" s="6" t="s">
        <v>206</v>
      </c>
      <c r="E24" s="4" t="s">
        <v>207</v>
      </c>
    </row>
    <row r="25" ht="34" customHeight="1" spans="1:5">
      <c r="A25" s="3">
        <v>22</v>
      </c>
      <c r="B25" s="4" t="s">
        <v>208</v>
      </c>
      <c r="C25" s="5">
        <f ca="1">SUM(OFFSET('Sales Data'!E2,0,0,5,1))</f>
        <v>96800</v>
      </c>
      <c r="D25" s="6" t="s">
        <v>209</v>
      </c>
      <c r="E25" s="4" t="s">
        <v>210</v>
      </c>
    </row>
    <row r="26" ht="34" customHeight="1" spans="1:5">
      <c r="A26" s="3">
        <v>23</v>
      </c>
      <c r="B26" s="4" t="s">
        <v>211</v>
      </c>
      <c r="C26" s="5">
        <f>YEAR('Employee Data'!E2)</f>
        <v>2015</v>
      </c>
      <c r="D26" s="6">
        <v>2015</v>
      </c>
      <c r="E26" s="4" t="s">
        <v>197</v>
      </c>
    </row>
    <row r="27" ht="34" customHeight="1" spans="1:5">
      <c r="A27" s="3">
        <v>24</v>
      </c>
      <c r="B27" s="4" t="s">
        <v>212</v>
      </c>
      <c r="C27" s="5">
        <f>MONTH('Employee Data'!E2)</f>
        <v>1</v>
      </c>
      <c r="D27" s="6">
        <v>1</v>
      </c>
      <c r="E27" s="4" t="s">
        <v>197</v>
      </c>
    </row>
    <row r="28" ht="34" customHeight="1" spans="1:5">
      <c r="A28" s="3">
        <v>25</v>
      </c>
      <c r="B28" s="4" t="s">
        <v>213</v>
      </c>
      <c r="C28" s="5">
        <f>DAY('Employee Data'!E2)</f>
        <v>1</v>
      </c>
      <c r="D28" s="6">
        <v>1</v>
      </c>
      <c r="E28" s="4" t="s">
        <v>197</v>
      </c>
    </row>
    <row r="29" ht="34" customHeight="1" spans="1:5">
      <c r="A29" s="3">
        <v>26</v>
      </c>
      <c r="B29" s="4" t="s">
        <v>214</v>
      </c>
      <c r="C29" s="5" t="str">
        <f>TEXT('Employee Data'!E2,"dd-mmm-yyyy")</f>
        <v>01-Jan-2015</v>
      </c>
      <c r="D29" s="6" t="s">
        <v>215</v>
      </c>
      <c r="E29" s="4" t="s">
        <v>197</v>
      </c>
    </row>
    <row r="30" ht="34" customHeight="1" spans="1:5">
      <c r="A30" s="3">
        <v>27</v>
      </c>
      <c r="B30" s="4" t="s">
        <v>216</v>
      </c>
      <c r="C30" s="5">
        <f>'Employee Data'!E21-'Employee Data'!E2</f>
        <v>4750</v>
      </c>
      <c r="D30" s="6">
        <v>4750</v>
      </c>
      <c r="E30" s="4" t="s">
        <v>217</v>
      </c>
    </row>
    <row r="31" ht="34" customHeight="1" spans="1:5">
      <c r="A31" s="3">
        <v>28</v>
      </c>
      <c r="B31" s="4" t="s">
        <v>218</v>
      </c>
      <c r="C31" s="5">
        <f>ROUND('Sales Data'!E2,-2)</f>
        <v>7000</v>
      </c>
      <c r="D31" s="6">
        <v>7000</v>
      </c>
      <c r="E31" s="4" t="s">
        <v>219</v>
      </c>
    </row>
    <row r="32" ht="34" customHeight="1" spans="1:5">
      <c r="A32" s="3">
        <v>29</v>
      </c>
      <c r="B32" s="4" t="s">
        <v>220</v>
      </c>
      <c r="C32" s="5">
        <f>CEILING('Sales Data'!E2,1000)</f>
        <v>8000</v>
      </c>
      <c r="D32" s="6">
        <v>8000</v>
      </c>
      <c r="E32" s="4" t="s">
        <v>221</v>
      </c>
    </row>
    <row r="33" ht="34" customHeight="1" spans="1:5">
      <c r="A33" s="3">
        <v>30</v>
      </c>
      <c r="B33" s="4" t="s">
        <v>222</v>
      </c>
      <c r="C33" s="5">
        <f>FLOOR('Sales Data'!E2,1000)</f>
        <v>7000</v>
      </c>
      <c r="D33" s="6">
        <v>7000</v>
      </c>
      <c r="E33" s="4" t="s">
        <v>223</v>
      </c>
    </row>
    <row r="34" ht="34" customHeight="1" spans="1:5">
      <c r="A34" s="3">
        <v>31</v>
      </c>
      <c r="B34" s="4" t="s">
        <v>224</v>
      </c>
      <c r="C34" s="5">
        <f>_xlfn._xlws.FILTER(Students!A2:H21,Students!G2:G21&gt;80,"No students found")</f>
        <v>1012</v>
      </c>
      <c r="D34" s="6" t="s">
        <v>225</v>
      </c>
      <c r="E34" s="4" t="s">
        <v>178</v>
      </c>
    </row>
    <row r="35" ht="34" customHeight="1" spans="1:5">
      <c r="A35" s="3">
        <v>32</v>
      </c>
      <c r="B35" s="4" t="s">
        <v>226</v>
      </c>
      <c r="C35" s="5" t="s">
        <v>227</v>
      </c>
      <c r="D35" s="6" t="s">
        <v>228</v>
      </c>
      <c r="E35" s="4" t="s">
        <v>229</v>
      </c>
    </row>
    <row r="36" ht="34" customHeight="1" spans="1:5">
      <c r="A36" s="3">
        <v>33</v>
      </c>
      <c r="B36" s="4" t="s">
        <v>230</v>
      </c>
      <c r="C36" s="5" t="s">
        <v>231</v>
      </c>
      <c r="D36" s="6" t="s">
        <v>232</v>
      </c>
      <c r="E36" s="4" t="s">
        <v>233</v>
      </c>
    </row>
    <row r="39" ht="17" spans="1:5">
      <c r="A39" s="7" t="s">
        <v>234</v>
      </c>
    </row>
    <row r="40" spans="1:5">
      <c r="A40" s="8" t="s">
        <v>235</v>
      </c>
      <c r="B40" s="9"/>
      <c r="C40" s="9"/>
      <c r="D40" s="9"/>
      <c r="E40" s="10"/>
    </row>
    <row r="41" spans="1:5">
      <c r="A41" s="8" t="s">
        <v>236</v>
      </c>
      <c r="B41" s="9"/>
      <c r="C41" s="9"/>
      <c r="D41" s="9"/>
      <c r="E41" s="10"/>
    </row>
    <row r="42" spans="1:5">
      <c r="A42" s="8" t="s">
        <v>237</v>
      </c>
      <c r="B42" s="9"/>
      <c r="C42" s="9"/>
      <c r="D42" s="9"/>
      <c r="E42" s="10"/>
    </row>
    <row r="43" spans="1:5">
      <c r="A43" s="8" t="s">
        <v>238</v>
      </c>
      <c r="B43" s="9"/>
      <c r="C43" s="9"/>
      <c r="D43" s="9"/>
      <c r="E43" s="10"/>
    </row>
    <row r="44" spans="1:5">
      <c r="A44" s="8" t="s">
        <v>239</v>
      </c>
      <c r="B44" s="9"/>
      <c r="C44" s="9"/>
      <c r="D44" s="9"/>
      <c r="E44" s="10"/>
    </row>
    <row r="45" spans="1:5">
      <c r="A45" s="11" t="s">
        <v>240</v>
      </c>
      <c r="B45" s="9"/>
      <c r="C45" s="9"/>
      <c r="D45" s="9"/>
      <c r="E45" s="10"/>
    </row>
  </sheetData>
  <autoFilter xmlns:etc="http://www.wps.cn/officeDocument/2017/etCustomData" ref="A3:E36" etc:filterBottomFollowUsedRange="0">
    <extLst/>
  </autoFilter>
  <mergeCells count="8">
    <mergeCell ref="A1:E1"/>
    <mergeCell ref="A39:E39"/>
    <mergeCell ref="A40:E40"/>
    <mergeCell ref="A41:E41"/>
    <mergeCell ref="A42:E42"/>
    <mergeCell ref="A43:E43"/>
    <mergeCell ref="A44:E44"/>
    <mergeCell ref="A45:E45"/>
  </mergeCells>
  <pageMargins left="0.75" right="0.75" top="1" bottom="1" header="0.5" footer="0.5"/>
  <pageSetup paperSize="1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Project Guide</vt:lpstr>
      <vt:lpstr>Employee Data</vt:lpstr>
      <vt:lpstr>Sales Data</vt:lpstr>
      <vt:lpstr>Students</vt:lpstr>
      <vt:lpstr>Task Solutions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Nithin Kumar Kamatam</cp:lastModifiedBy>
  <dcterms:created xsi:type="dcterms:W3CDTF">2026-09-06T10:02:00Z</dcterms:created>
  <dcterms:modified xsi:type="dcterms:W3CDTF">2026-09-06T10:46:16Z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FA235745B15644DAA163F4C5674B3366_12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